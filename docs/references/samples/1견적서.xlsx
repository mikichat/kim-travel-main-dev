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eDtJn08Hk_MQ_3xVq5qIOsw1cDXVXQuq\자료\1.견적서\10.2026년\4월\0420 전주_여행세상_호&amp;무_축협_대의원\"/>
    </mc:Choice>
  </mc:AlternateContent>
  <xr:revisionPtr revIDLastSave="0" documentId="13_ncr:1_{C4571BB6-6A8F-4313-86D5-B112AED08FAD}" xr6:coauthVersionLast="47" xr6:coauthVersionMax="47" xr10:uidLastSave="{00000000-0000-0000-0000-000000000000}"/>
  <bookViews>
    <workbookView xWindow="4020" yWindow="615" windowWidth="13770" windowHeight="14265" xr2:uid="{00000000-000D-0000-FFFF-FFFF00000000}"/>
  </bookViews>
  <sheets>
    <sheet name="호치민&amp;무이네" sheetId="1" r:id="rId1"/>
    <sheet name="세부" sheetId="2" r:id="rId2"/>
  </sheets>
  <definedNames>
    <definedName name="_xlnm.Print_Area" localSheetId="1">세부!$A$1:$I$38</definedName>
    <definedName name="_xlnm.Print_Area" localSheetId="0">'호치민&amp;무이네'!$A$1:$I$59</definedName>
    <definedName name="_xlnm.Print_Area">#REF!</definedName>
  </definedNames>
  <calcPr calcId="181029"/>
</workbook>
</file>

<file path=xl/calcChain.xml><?xml version="1.0" encoding="utf-8"?>
<calcChain xmlns="http://schemas.openxmlformats.org/spreadsheetml/2006/main">
  <c r="I4" i="2" l="1"/>
  <c r="I5" i="2"/>
  <c r="I6" i="2"/>
  <c r="E7" i="2"/>
  <c r="I7" i="2"/>
  <c r="E8" i="2"/>
  <c r="I8" i="2"/>
  <c r="E9" i="2"/>
  <c r="I9" i="2" s="1"/>
  <c r="I13" i="2" s="1"/>
  <c r="E10" i="2"/>
  <c r="I10" i="2"/>
  <c r="E11" i="2"/>
  <c r="I11" i="2"/>
  <c r="E12" i="2"/>
  <c r="I12" i="2"/>
  <c r="E14" i="2"/>
  <c r="I14" i="2" s="1"/>
  <c r="I20" i="2" s="1"/>
  <c r="E15" i="2"/>
  <c r="I15" i="2"/>
  <c r="E16" i="2"/>
  <c r="I16" i="2"/>
  <c r="E17" i="2"/>
  <c r="I17" i="2" s="1"/>
  <c r="E18" i="2"/>
  <c r="I18" i="2" s="1"/>
  <c r="E19" i="2"/>
  <c r="I19" i="2"/>
  <c r="E21" i="2"/>
  <c r="I21" i="2"/>
  <c r="I22" i="2"/>
  <c r="E23" i="2"/>
  <c r="I23" i="2"/>
  <c r="E24" i="2"/>
  <c r="E29" i="2" s="1"/>
  <c r="I29" i="2" s="1"/>
  <c r="I24" i="2"/>
  <c r="E25" i="2"/>
  <c r="I25" i="2"/>
  <c r="I26" i="2"/>
  <c r="I27" i="2"/>
  <c r="E28" i="2"/>
  <c r="I28" i="2"/>
  <c r="E31" i="2"/>
  <c r="I31" i="2"/>
  <c r="E32" i="2"/>
  <c r="I32" i="2" s="1"/>
  <c r="E34" i="2"/>
  <c r="I34" i="2"/>
  <c r="I35" i="2"/>
  <c r="I33" i="2" l="1"/>
  <c r="I30" i="2"/>
  <c r="I37" i="2" s="1"/>
  <c r="I38" i="2" s="1"/>
  <c r="I39" i="2" s="1"/>
</calcChain>
</file>

<file path=xl/sharedStrings.xml><?xml version="1.0" encoding="utf-8"?>
<sst xmlns="http://schemas.openxmlformats.org/spreadsheetml/2006/main" count="215" uniqueCount="156">
  <si>
    <t>발 신</t>
  </si>
  <si>
    <t>식사</t>
  </si>
  <si>
    <t>교통편</t>
  </si>
  <si>
    <t>지역</t>
  </si>
  <si>
    <t>PAX</t>
  </si>
  <si>
    <t>시간</t>
  </si>
  <si>
    <t>수신</t>
  </si>
  <si>
    <t>일자</t>
  </si>
  <si>
    <t>REMARK</t>
  </si>
  <si>
    <t>여행기간</t>
  </si>
  <si>
    <t>불포함 사항</t>
  </si>
  <si>
    <t>쇼핑센터</t>
  </si>
  <si>
    <t>추천옵션</t>
  </si>
  <si>
    <t>포함사항</t>
  </si>
  <si>
    <t>** 상기 일정은 항공 및 현지 사정에 의해 다소 변경될 수 있습니다.</t>
  </si>
  <si>
    <t>인천 국제공항 출발</t>
  </si>
  <si>
    <t>▣ 노 옵션 조건</t>
    <phoneticPr fontId="2" type="noConversion"/>
  </si>
  <si>
    <t>전용차량</t>
    <phoneticPr fontId="2" type="noConversion"/>
  </si>
  <si>
    <t>㈜넘버원플러스NET / 소장 신종국, 실장 김아연</t>
    <phoneticPr fontId="2" type="noConversion"/>
  </si>
  <si>
    <t>일정</t>
    <phoneticPr fontId="2" type="noConversion"/>
  </si>
  <si>
    <t>조:기내식</t>
    <phoneticPr fontId="2" type="noConversion"/>
  </si>
  <si>
    <t>호치민</t>
    <phoneticPr fontId="2" type="noConversion"/>
  </si>
  <si>
    <t>호치민 탄손넛 국제공항 도착 후 입국 수속</t>
    <phoneticPr fontId="2" type="noConversion"/>
  </si>
  <si>
    <t xml:space="preserve"> - 왕복 티켓 또는 보딩패스 반드시 소지 부탁 드립니다.</t>
    <phoneticPr fontId="2" type="noConversion"/>
  </si>
  <si>
    <t>호텔 조식 후 가이드 미팅</t>
    <phoneticPr fontId="3" type="noConversion"/>
  </si>
  <si>
    <t>조:호텔식</t>
    <phoneticPr fontId="2" type="noConversion"/>
  </si>
  <si>
    <t>전  일</t>
    <phoneticPr fontId="2" type="noConversion"/>
  </si>
  <si>
    <t>전   일</t>
    <phoneticPr fontId="2" type="noConversion"/>
  </si>
  <si>
    <t xml:space="preserve"> - 삶의 역동성을 볼 수 있는 피싱 빌리지 관광</t>
    <phoneticPr fontId="9" type="noConversion"/>
  </si>
  <si>
    <t xml:space="preserve"> - 4륜구동 오토바이 탑승 후 화이트 샌드 비치 관광</t>
    <phoneticPr fontId="9" type="noConversion"/>
  </si>
  <si>
    <t xml:space="preserve"> - 작은 숲을 지나서 빨간 모래를 볼 수 있는 레드 샌드 관광</t>
    <phoneticPr fontId="9" type="noConversion"/>
  </si>
  <si>
    <t>▶ 무이네 사막 투어[4인/1 짚차 탑승]</t>
    <phoneticPr fontId="9" type="noConversion"/>
  </si>
  <si>
    <t>무이네</t>
    <phoneticPr fontId="2" type="noConversion"/>
  </si>
  <si>
    <t>지 상 비</t>
    <phoneticPr fontId="2" type="noConversion"/>
  </si>
  <si>
    <t>▣ 세부내역서 참조 부탁 드립니다.</t>
    <phoneticPr fontId="2" type="noConversion"/>
  </si>
  <si>
    <t>인   천</t>
    <phoneticPr fontId="2" type="noConversion"/>
  </si>
  <si>
    <t>인천 국제공항 도착</t>
    <phoneticPr fontId="2" type="noConversion"/>
  </si>
  <si>
    <t>호치민 국제공항 출발</t>
    <phoneticPr fontId="2" type="noConversion"/>
  </si>
  <si>
    <t>오   전</t>
    <phoneticPr fontId="2" type="noConversion"/>
  </si>
  <si>
    <t>호텔 조식 후 가이드 미팅</t>
    <phoneticPr fontId="2" type="noConversion"/>
  </si>
  <si>
    <t>▣ 노 쇼핑 조건</t>
    <phoneticPr fontId="2" type="noConversion"/>
  </si>
  <si>
    <t>석:기내식</t>
    <phoneticPr fontId="2" type="noConversion"/>
  </si>
  <si>
    <t>★베트남_호치민&amp;무이네 3박5일 제안서★</t>
    <phoneticPr fontId="2" type="noConversion"/>
  </si>
  <si>
    <t>전주_여행세상 / 김국진 사장님</t>
    <phoneticPr fontId="2" type="noConversion"/>
  </si>
  <si>
    <t>1일차</t>
    <phoneticPr fontId="2" type="noConversion"/>
  </si>
  <si>
    <t>국제선</t>
    <phoneticPr fontId="2" type="noConversion"/>
  </si>
  <si>
    <t>오   후</t>
    <phoneticPr fontId="2" type="noConversion"/>
  </si>
  <si>
    <t>가이드 미팅 후 전용차량 탑승 / 호텔 이동</t>
    <phoneticPr fontId="2" type="noConversion"/>
  </si>
  <si>
    <t>2일차</t>
    <phoneticPr fontId="2" type="noConversion"/>
  </si>
  <si>
    <t>호텔 도착 후 휴식</t>
    <phoneticPr fontId="2" type="noConversion"/>
  </si>
  <si>
    <t>중:미토현지식</t>
    <phoneticPr fontId="2" type="noConversion"/>
  </si>
  <si>
    <t>석:호텔만찬식</t>
    <phoneticPr fontId="2" type="noConversion"/>
  </si>
  <si>
    <t>전용차량 탑승 후 호치민으로 이동</t>
    <phoneticPr fontId="2" type="noConversion"/>
  </si>
  <si>
    <t>베트남 최대 곡창지대 미토 이동</t>
    <phoneticPr fontId="2" type="noConversion"/>
  </si>
  <si>
    <t>▶여행의 피로를 풀어줄 스톤 마사지 90분 체험(팁 별도)</t>
    <phoneticPr fontId="9" type="noConversion"/>
  </si>
  <si>
    <t>3일차</t>
    <phoneticPr fontId="2" type="noConversion"/>
  </si>
  <si>
    <t>전용차량 탑승 후 사막과 바다가 공존하는 무이네로 이동</t>
    <phoneticPr fontId="2" type="noConversion"/>
  </si>
  <si>
    <t>중식 후 무이네 시내 관광</t>
    <phoneticPr fontId="2" type="noConversion"/>
  </si>
  <si>
    <t>중:현지식</t>
    <phoneticPr fontId="2" type="noConversion"/>
  </si>
  <si>
    <t>석:씨푸드정찬</t>
    <phoneticPr fontId="2" type="noConversion"/>
  </si>
  <si>
    <t xml:space="preserve"> </t>
    <phoneticPr fontId="2" type="noConversion"/>
  </si>
  <si>
    <t>5일차</t>
    <phoneticPr fontId="2" type="noConversion"/>
  </si>
  <si>
    <t>4일차</t>
    <phoneticPr fontId="2" type="noConversion"/>
  </si>
  <si>
    <t>HOTEL: 시링크 무이네 리조트 기준</t>
    <phoneticPr fontId="2" type="noConversion"/>
  </si>
  <si>
    <t>중식 후 호치민 시내 관광</t>
    <phoneticPr fontId="2" type="noConversion"/>
  </si>
  <si>
    <t>석식 후 공항으로 이동</t>
    <phoneticPr fontId="2" type="noConversion"/>
  </si>
  <si>
    <t>호치민 탄손넛 국제공항 도착 후 출국 수속</t>
    <phoneticPr fontId="2" type="noConversion"/>
  </si>
  <si>
    <t>석:드마리스뷔페</t>
    <phoneticPr fontId="2" type="noConversion"/>
  </si>
  <si>
    <t>▣ 국제선 왕복 항공료, 유류텍스, 에티켓팁, 여행자 보험</t>
    <phoneticPr fontId="2" type="noConversion"/>
  </si>
  <si>
    <t>▣ 스톤 마사지 90분*2회(팁 별도)</t>
    <phoneticPr fontId="2" type="noConversion"/>
  </si>
  <si>
    <t>▣ 미토 현지식, 호텔뷔페, 현지식, 씨푸드정찬, 현지식, 드마리스</t>
    <phoneticPr fontId="2" type="noConversion"/>
  </si>
  <si>
    <t>▶ 베트남 전쟁의 모든것을 볼 수 있는 전쟁 박물관 관광</t>
    <phoneticPr fontId="9" type="noConversion"/>
  </si>
  <si>
    <t>▶ 벤탄시장 &amp; 사이공 스퀘어 자유시간</t>
    <phoneticPr fontId="9" type="noConversion"/>
  </si>
  <si>
    <t>▣ 호텔(2인1실), 45인승 전용차량*3대, 한국인&amp;현지인 가이드*3대, 가이드 &amp; 기사 경비</t>
    <phoneticPr fontId="2" type="noConversion"/>
  </si>
  <si>
    <t>▣ 미토 투어(삼판배 포함), 무이네 사막 투어(짚차, 4륜구동), 사이공 스퀘어&amp;벤탄시장, 전쟁 박물관</t>
    <phoneticPr fontId="2" type="noConversion"/>
  </si>
  <si>
    <t>▶ 미토 관광</t>
    <phoneticPr fontId="9" type="noConversion"/>
  </si>
  <si>
    <t xml:space="preserve"> - 전통악기 연주, 사탕수수 제작 과정, 과일 시식, 벌꿀 채취</t>
    <phoneticPr fontId="9" type="noConversion"/>
  </si>
  <si>
    <t xml:space="preserve"> - 전통 삼판배 탑승 후 맹글로브 수로 탐사체험</t>
    <phoneticPr fontId="9" type="noConversion"/>
  </si>
  <si>
    <t>65+1[32트윈+2싱글]</t>
    <phoneticPr fontId="2" type="noConversion"/>
  </si>
  <si>
    <t>▣ 입국시 입국일 기준 6개월이상 남으셔야 입국이 가능합니다.</t>
    <phoneticPr fontId="3" type="noConversion"/>
  </si>
  <si>
    <t>▣ 베트남 입국시 전자담배 적발시, 벌금 및 제재 있습니다.</t>
    <phoneticPr fontId="3" type="noConversion"/>
  </si>
  <si>
    <t>Date : 0211</t>
    <phoneticPr fontId="2" type="noConversion"/>
  </si>
  <si>
    <t>2026.04.20~04.24</t>
    <phoneticPr fontId="3" type="noConversion"/>
  </si>
  <si>
    <t>HOTEL: 뉴월드 호텔 기준</t>
    <phoneticPr fontId="2" type="noConversion"/>
  </si>
  <si>
    <t>HOTEL: 기내박</t>
    <phoneticPr fontId="2" type="noConversion"/>
  </si>
  <si>
    <t>호텔 이동 만찬 준비</t>
    <phoneticPr fontId="2" type="noConversion"/>
  </si>
  <si>
    <t>석식 후 호텔 휴식</t>
    <phoneticPr fontId="2" type="noConversion"/>
  </si>
  <si>
    <t xml:space="preserve">석식 후 </t>
    <phoneticPr fontId="2" type="noConversion"/>
  </si>
  <si>
    <t>호텔 이동 및 휴식</t>
    <phoneticPr fontId="2" type="noConversion"/>
  </si>
  <si>
    <t>중:꽝안응온현지식</t>
    <phoneticPr fontId="2" type="noConversion"/>
  </si>
  <si>
    <t>최종 1인당 경비</t>
    <phoneticPr fontId="3" type="noConversion"/>
  </si>
  <si>
    <t>1인당 경비</t>
    <phoneticPr fontId="2" type="noConversion"/>
  </si>
  <si>
    <t>총경비</t>
    <phoneticPr fontId="2" type="noConversion"/>
  </si>
  <si>
    <t>기타 합계</t>
    <phoneticPr fontId="3" type="noConversion"/>
  </si>
  <si>
    <t>회</t>
    <phoneticPr fontId="3" type="noConversion"/>
  </si>
  <si>
    <t>명</t>
    <phoneticPr fontId="3" type="noConversion"/>
  </si>
  <si>
    <t>핸드링</t>
    <phoneticPr fontId="3" type="noConversion"/>
  </si>
  <si>
    <t>핸드링비용</t>
    <phoneticPr fontId="3" type="noConversion"/>
  </si>
  <si>
    <t>생수</t>
    <phoneticPr fontId="3" type="noConversion"/>
  </si>
  <si>
    <t>인두세</t>
    <phoneticPr fontId="3" type="noConversion"/>
  </si>
  <si>
    <t>기타</t>
    <phoneticPr fontId="3" type="noConversion"/>
  </si>
  <si>
    <t>차량비 및 팁 합계</t>
    <phoneticPr fontId="3" type="noConversion"/>
  </si>
  <si>
    <t>일</t>
    <phoneticPr fontId="3" type="noConversion"/>
  </si>
  <si>
    <t>방</t>
    <phoneticPr fontId="3" type="noConversion"/>
  </si>
  <si>
    <t>기사 숙박비</t>
    <phoneticPr fontId="3" type="noConversion"/>
  </si>
  <si>
    <t>기사</t>
    <phoneticPr fontId="3" type="noConversion"/>
  </si>
  <si>
    <t>대</t>
    <phoneticPr fontId="3" type="noConversion"/>
  </si>
  <si>
    <t>호무</t>
    <phoneticPr fontId="3" type="noConversion"/>
  </si>
  <si>
    <t>45인승 차량</t>
    <phoneticPr fontId="3" type="noConversion"/>
  </si>
  <si>
    <t>차량/기사</t>
    <phoneticPr fontId="3" type="noConversion"/>
  </si>
  <si>
    <t>가이드 합계</t>
    <phoneticPr fontId="3" type="noConversion"/>
  </si>
  <si>
    <t>가이드 숙박비</t>
    <phoneticPr fontId="3" type="noConversion"/>
  </si>
  <si>
    <t>로컬가이드</t>
    <phoneticPr fontId="3" type="noConversion"/>
  </si>
  <si>
    <t>한국인 가이드</t>
    <phoneticPr fontId="17" type="noConversion"/>
  </si>
  <si>
    <t>가이드</t>
    <phoneticPr fontId="3" type="noConversion"/>
  </si>
  <si>
    <t>옵션 합계</t>
    <phoneticPr fontId="3" type="noConversion"/>
  </si>
  <si>
    <t>스톤 마사지 90분(팁별도)</t>
    <phoneticPr fontId="3" type="noConversion"/>
  </si>
  <si>
    <t>옵션 포함</t>
    <phoneticPr fontId="3" type="noConversion"/>
  </si>
  <si>
    <t>기본 입장료 합계</t>
    <phoneticPr fontId="3" type="noConversion"/>
  </si>
  <si>
    <t>무이네시내</t>
    <phoneticPr fontId="3" type="noConversion"/>
  </si>
  <si>
    <t>4륜구동바이크</t>
    <phoneticPr fontId="3" type="noConversion"/>
  </si>
  <si>
    <t>짚차</t>
    <phoneticPr fontId="3" type="noConversion"/>
  </si>
  <si>
    <t>미토가이드</t>
    <phoneticPr fontId="3" type="noConversion"/>
  </si>
  <si>
    <t>미토</t>
    <phoneticPr fontId="3" type="noConversion"/>
  </si>
  <si>
    <t>호치민 시내관광</t>
    <phoneticPr fontId="3" type="noConversion"/>
  </si>
  <si>
    <t>기본
입장료</t>
    <phoneticPr fontId="3" type="noConversion"/>
  </si>
  <si>
    <t>회</t>
    <phoneticPr fontId="17" type="noConversion"/>
  </si>
  <si>
    <t>명</t>
    <phoneticPr fontId="17" type="noConversion"/>
  </si>
  <si>
    <t>드마리스뷔페</t>
    <phoneticPr fontId="17" type="noConversion"/>
  </si>
  <si>
    <t>4일차 석식</t>
    <phoneticPr fontId="17" type="noConversion"/>
  </si>
  <si>
    <t>꽝안응온 현지식</t>
    <phoneticPr fontId="17" type="noConversion"/>
  </si>
  <si>
    <t>4일차 중식</t>
    <phoneticPr fontId="17" type="noConversion"/>
  </si>
  <si>
    <t>씨푸드</t>
    <phoneticPr fontId="17" type="noConversion"/>
  </si>
  <si>
    <t>3일차 석식</t>
    <phoneticPr fontId="17" type="noConversion"/>
  </si>
  <si>
    <t>현지식</t>
    <phoneticPr fontId="17" type="noConversion"/>
  </si>
  <si>
    <t>3일차 중식</t>
    <phoneticPr fontId="17" type="noConversion"/>
  </si>
  <si>
    <t>호텔만찬</t>
    <phoneticPr fontId="3" type="noConversion"/>
  </si>
  <si>
    <t>2일차 석식</t>
    <phoneticPr fontId="3" type="noConversion"/>
  </si>
  <si>
    <t>미토현지식</t>
    <phoneticPr fontId="3" type="noConversion"/>
  </si>
  <si>
    <t>2일차 중식</t>
    <phoneticPr fontId="3" type="noConversion"/>
  </si>
  <si>
    <t>식   사</t>
    <phoneticPr fontId="17" type="noConversion"/>
  </si>
  <si>
    <t>호텔 합계</t>
    <phoneticPr fontId="3" type="noConversion"/>
  </si>
  <si>
    <t>박</t>
    <phoneticPr fontId="3" type="noConversion"/>
  </si>
  <si>
    <t>시링크 무이네</t>
    <phoneticPr fontId="3" type="noConversion"/>
  </si>
  <si>
    <t>뉴월드</t>
    <phoneticPr fontId="3" type="noConversion"/>
  </si>
  <si>
    <t>호텔</t>
    <phoneticPr fontId="3" type="noConversion"/>
  </si>
  <si>
    <t>TOTAL(USD)</t>
    <phoneticPr fontId="2" type="noConversion"/>
  </si>
  <si>
    <t>TIMES</t>
    <phoneticPr fontId="2" type="noConversion"/>
  </si>
  <si>
    <t>AMOUNT</t>
    <phoneticPr fontId="2" type="noConversion"/>
  </si>
  <si>
    <t>요금(USD)</t>
    <phoneticPr fontId="2" type="noConversion"/>
  </si>
  <si>
    <t>내용</t>
    <phoneticPr fontId="3" type="noConversion"/>
  </si>
  <si>
    <t>세 부 내 역</t>
    <phoneticPr fontId="2" type="noConversion"/>
  </si>
  <si>
    <t>단체명</t>
    <phoneticPr fontId="3" type="noConversion"/>
  </si>
  <si>
    <t>FOC</t>
    <phoneticPr fontId="3" type="noConversion"/>
  </si>
  <si>
    <t>인원</t>
    <phoneticPr fontId="3" type="noConversion"/>
  </si>
  <si>
    <t>기간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</si>
</sst>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24" formatCode="\$#,##0_);[Red]\(\$#,##0\)"/>
    <numFmt numFmtId="176" formatCode="\$#,##0.0"/>
    <numFmt numFmtId="177" formatCode="\$#,##0.0_);\(\$#,##0.0\)"/>
    <numFmt numFmtId="178" formatCode="\$#,##0.0_);[Red]\(\$#,##0.0\)"/>
  </numFmts>
  <fonts count="23">
    <font>
      <sz val="11"/>
      <color rgb="FF000000"/>
      <name val="맑은 고딕"/>
    </font>
    <font>
      <b/>
      <sz val="16"/>
      <color rgb="FF0000FF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HY강M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HY강M"/>
      <family val="1"/>
      <charset val="129"/>
    </font>
    <font>
      <b/>
      <sz val="11"/>
      <color rgb="FFFF0000"/>
      <name val="HY강M"/>
      <family val="1"/>
      <charset val="129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theme="3" tint="-0.249977111117893"/>
      <name val="맑은 고딕"/>
      <family val="3"/>
      <charset val="129"/>
      <scheme val="major"/>
    </font>
    <font>
      <sz val="10"/>
      <name val="굴림체"/>
      <family val="3"/>
      <charset val="129"/>
    </font>
    <font>
      <b/>
      <sz val="16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auto="1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auto="1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double">
        <color indexed="64"/>
      </top>
      <bottom/>
      <diagonal/>
    </border>
    <border>
      <left/>
      <right style="thin">
        <color auto="1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/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1" fillId="0" borderId="0">
      <alignment vertical="center"/>
    </xf>
  </cellStyleXfs>
  <cellXfs count="228">
    <xf numFmtId="0" fontId="0" fillId="0" borderId="0" xfId="0">
      <alignment vertical="center"/>
    </xf>
    <xf numFmtId="0" fontId="5" fillId="0" borderId="0" xfId="0" applyFo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20" fontId="10" fillId="3" borderId="7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20" fontId="10" fillId="3" borderId="9" xfId="0" applyNumberFormat="1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3" borderId="13" xfId="0" applyFont="1" applyFill="1" applyBorder="1" applyAlignment="1">
      <alignment horizontal="center" vertical="center" wrapText="1"/>
    </xf>
    <xf numFmtId="20" fontId="10" fillId="3" borderId="13" xfId="0" applyNumberFormat="1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5" borderId="34" xfId="0" applyFont="1" applyFill="1" applyBorder="1" applyAlignment="1">
      <alignment horizontal="left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5" borderId="35" xfId="0" applyFont="1" applyFill="1" applyBorder="1" applyAlignment="1">
      <alignment horizontal="left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left" vertical="center" wrapText="1"/>
    </xf>
    <xf numFmtId="0" fontId="10" fillId="3" borderId="28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left" vertical="center" wrapText="1"/>
    </xf>
    <xf numFmtId="0" fontId="10" fillId="5" borderId="15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0" fillId="5" borderId="16" xfId="0" applyFont="1" applyFill="1" applyBorder="1" applyAlignment="1">
      <alignment horizontal="left" vertical="center"/>
    </xf>
    <xf numFmtId="0" fontId="10" fillId="3" borderId="15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5" borderId="15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1" fillId="5" borderId="16" xfId="0" applyFont="1" applyFill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5" borderId="40" xfId="0" applyFont="1" applyFill="1" applyBorder="1" applyAlignment="1">
      <alignment horizontal="left" vertical="center" wrapText="1"/>
    </xf>
    <xf numFmtId="0" fontId="10" fillId="5" borderId="41" xfId="0" applyFont="1" applyFill="1" applyBorder="1" applyAlignment="1">
      <alignment horizontal="left" vertical="center" wrapText="1"/>
    </xf>
    <xf numFmtId="0" fontId="10" fillId="5" borderId="42" xfId="0" applyFont="1" applyFill="1" applyBorder="1" applyAlignment="1">
      <alignment horizontal="left" vertical="center" wrapText="1"/>
    </xf>
    <xf numFmtId="0" fontId="10" fillId="5" borderId="15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5" borderId="16" xfId="0" applyFont="1" applyFill="1" applyBorder="1" applyAlignment="1">
      <alignment horizontal="left" vertical="center" wrapText="1"/>
    </xf>
    <xf numFmtId="0" fontId="11" fillId="5" borderId="15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0" fontId="11" fillId="5" borderId="16" xfId="0" applyFont="1" applyFill="1" applyBorder="1" applyAlignment="1">
      <alignment horizontal="left" vertical="center" wrapText="1"/>
    </xf>
    <xf numFmtId="0" fontId="10" fillId="3" borderId="20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left" vertical="center"/>
    </xf>
    <xf numFmtId="0" fontId="10" fillId="5" borderId="22" xfId="0" applyFont="1" applyFill="1" applyBorder="1" applyAlignment="1">
      <alignment horizontal="left" vertical="center"/>
    </xf>
    <xf numFmtId="0" fontId="10" fillId="5" borderId="43" xfId="0" applyFont="1" applyFill="1" applyBorder="1" applyAlignment="1">
      <alignment horizontal="left" vertical="center"/>
    </xf>
    <xf numFmtId="0" fontId="10" fillId="4" borderId="15" xfId="0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10" fillId="4" borderId="16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left" vertical="center" wrapText="1"/>
    </xf>
    <xf numFmtId="0" fontId="10" fillId="6" borderId="17" xfId="0" applyFont="1" applyFill="1" applyBorder="1" applyAlignment="1">
      <alignment horizontal="left" vertical="center"/>
    </xf>
    <xf numFmtId="0" fontId="10" fillId="6" borderId="19" xfId="0" applyFont="1" applyFill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37" xfId="4" applyFont="1" applyBorder="1" applyAlignment="1">
      <alignment horizontal="left" vertical="center"/>
    </xf>
    <xf numFmtId="0" fontId="10" fillId="0" borderId="38" xfId="4" applyFont="1" applyBorder="1" applyAlignment="1">
      <alignment horizontal="left" vertical="center"/>
    </xf>
    <xf numFmtId="0" fontId="10" fillId="0" borderId="39" xfId="4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7" fillId="0" borderId="0" xfId="1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24" fontId="13" fillId="7" borderId="44" xfId="1" applyNumberFormat="1" applyFont="1" applyFill="1" applyBorder="1">
      <alignment vertical="center"/>
    </xf>
    <xf numFmtId="0" fontId="14" fillId="0" borderId="45" xfId="1" applyFont="1" applyBorder="1" applyAlignment="1">
      <alignment horizontal="center" vertical="center"/>
    </xf>
    <xf numFmtId="0" fontId="14" fillId="0" borderId="46" xfId="1" applyFont="1" applyBorder="1" applyAlignment="1">
      <alignment horizontal="center" vertical="center"/>
    </xf>
    <xf numFmtId="0" fontId="14" fillId="0" borderId="47" xfId="1" applyFont="1" applyBorder="1" applyAlignment="1">
      <alignment horizontal="center" vertical="center"/>
    </xf>
    <xf numFmtId="0" fontId="13" fillId="0" borderId="48" xfId="1" applyFont="1" applyBorder="1">
      <alignment vertical="center"/>
    </xf>
    <xf numFmtId="24" fontId="15" fillId="0" borderId="49" xfId="1" applyNumberFormat="1" applyFont="1" applyBorder="1">
      <alignment vertical="center"/>
    </xf>
    <xf numFmtId="37" fontId="15" fillId="0" borderId="50" xfId="1" applyNumberFormat="1" applyFont="1" applyBorder="1" applyAlignment="1">
      <alignment horizontal="center" vertical="center"/>
    </xf>
    <xf numFmtId="37" fontId="15" fillId="0" borderId="51" xfId="1" applyNumberFormat="1" applyFont="1" applyBorder="1" applyAlignment="1">
      <alignment horizontal="center" vertical="center"/>
    </xf>
    <xf numFmtId="37" fontId="15" fillId="0" borderId="52" xfId="1" applyNumberFormat="1" applyFont="1" applyBorder="1" applyAlignment="1">
      <alignment horizontal="center" vertical="center"/>
    </xf>
    <xf numFmtId="37" fontId="15" fillId="0" borderId="53" xfId="1" applyNumberFormat="1" applyFont="1" applyBorder="1">
      <alignment vertical="center"/>
    </xf>
    <xf numFmtId="0" fontId="16" fillId="0" borderId="0" xfId="1" applyFont="1">
      <alignment vertical="center"/>
    </xf>
    <xf numFmtId="24" fontId="15" fillId="0" borderId="54" xfId="1" applyNumberFormat="1" applyFont="1" applyBorder="1">
      <alignment vertical="center"/>
    </xf>
    <xf numFmtId="37" fontId="15" fillId="0" borderId="55" xfId="1" applyNumberFormat="1" applyFont="1" applyBorder="1" applyAlignment="1">
      <alignment horizontal="center" vertical="center"/>
    </xf>
    <xf numFmtId="37" fontId="15" fillId="0" borderId="56" xfId="1" applyNumberFormat="1" applyFont="1" applyBorder="1" applyAlignment="1">
      <alignment horizontal="center" vertical="center"/>
    </xf>
    <xf numFmtId="37" fontId="15" fillId="0" borderId="57" xfId="1" applyNumberFormat="1" applyFont="1" applyBorder="1" applyAlignment="1">
      <alignment horizontal="center" vertical="center"/>
    </xf>
    <xf numFmtId="37" fontId="15" fillId="0" borderId="58" xfId="1" applyNumberFormat="1" applyFont="1" applyBorder="1">
      <alignment vertical="center"/>
    </xf>
    <xf numFmtId="0" fontId="16" fillId="0" borderId="0" xfId="1" applyFont="1" applyAlignment="1">
      <alignment horizontal="right" vertical="center"/>
    </xf>
    <xf numFmtId="0" fontId="16" fillId="0" borderId="31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176" fontId="15" fillId="8" borderId="59" xfId="2" applyNumberFormat="1" applyFont="1" applyFill="1" applyBorder="1" applyAlignment="1">
      <alignment horizontal="right" vertical="center"/>
    </xf>
    <xf numFmtId="0" fontId="16" fillId="8" borderId="60" xfId="1" applyFont="1" applyFill="1" applyBorder="1" applyAlignment="1">
      <alignment horizontal="center" vertical="center"/>
    </xf>
    <xf numFmtId="0" fontId="16" fillId="8" borderId="61" xfId="1" applyFont="1" applyFill="1" applyBorder="1" applyAlignment="1">
      <alignment horizontal="center" vertical="center"/>
    </xf>
    <xf numFmtId="0" fontId="16" fillId="8" borderId="62" xfId="1" applyFont="1" applyFill="1" applyBorder="1" applyAlignment="1">
      <alignment horizontal="center" vertical="center"/>
    </xf>
    <xf numFmtId="0" fontId="15" fillId="8" borderId="63" xfId="1" applyFont="1" applyFill="1" applyBorder="1" applyAlignment="1">
      <alignment horizontal="center" vertical="center"/>
    </xf>
    <xf numFmtId="177" fontId="16" fillId="0" borderId="64" xfId="1" applyNumberFormat="1" applyFont="1" applyBorder="1" applyAlignment="1">
      <alignment horizontal="right" vertical="center"/>
    </xf>
    <xf numFmtId="0" fontId="16" fillId="5" borderId="65" xfId="1" applyFont="1" applyFill="1" applyBorder="1" applyAlignment="1">
      <alignment horizontal="right" vertical="center"/>
    </xf>
    <xf numFmtId="178" fontId="16" fillId="5" borderId="65" xfId="1" applyNumberFormat="1" applyFont="1" applyFill="1" applyBorder="1">
      <alignment vertical="center"/>
    </xf>
    <xf numFmtId="3" fontId="16" fillId="5" borderId="65" xfId="1" applyNumberFormat="1" applyFont="1" applyFill="1" applyBorder="1">
      <alignment vertical="center"/>
    </xf>
    <xf numFmtId="0" fontId="16" fillId="0" borderId="66" xfId="1" applyFont="1" applyBorder="1">
      <alignment vertical="center"/>
    </xf>
    <xf numFmtId="0" fontId="15" fillId="8" borderId="67" xfId="1" applyFont="1" applyFill="1" applyBorder="1" applyAlignment="1">
      <alignment horizontal="center" vertical="center"/>
    </xf>
    <xf numFmtId="177" fontId="16" fillId="5" borderId="68" xfId="1" applyNumberFormat="1" applyFont="1" applyFill="1" applyBorder="1" applyAlignment="1">
      <alignment horizontal="right" vertical="center"/>
    </xf>
    <xf numFmtId="0" fontId="16" fillId="5" borderId="69" xfId="1" applyFont="1" applyFill="1" applyBorder="1" applyAlignment="1">
      <alignment horizontal="right" vertical="center"/>
    </xf>
    <xf numFmtId="0" fontId="16" fillId="0" borderId="69" xfId="1" applyFont="1" applyBorder="1" applyAlignment="1">
      <alignment horizontal="right" vertical="center"/>
    </xf>
    <xf numFmtId="178" fontId="16" fillId="0" borderId="69" xfId="1" applyNumberFormat="1" applyFont="1" applyBorder="1">
      <alignment vertical="center"/>
    </xf>
    <xf numFmtId="3" fontId="16" fillId="5" borderId="69" xfId="1" applyNumberFormat="1" applyFont="1" applyFill="1" applyBorder="1">
      <alignment vertical="center"/>
    </xf>
    <xf numFmtId="0" fontId="16" fillId="0" borderId="70" xfId="1" applyFont="1" applyBorder="1">
      <alignment vertical="center"/>
    </xf>
    <xf numFmtId="0" fontId="15" fillId="8" borderId="71" xfId="1" applyFont="1" applyFill="1" applyBorder="1" applyAlignment="1">
      <alignment horizontal="center" vertical="center"/>
    </xf>
    <xf numFmtId="0" fontId="16" fillId="0" borderId="65" xfId="1" applyFont="1" applyBorder="1" applyAlignment="1">
      <alignment horizontal="right" vertical="center"/>
    </xf>
    <xf numFmtId="178" fontId="16" fillId="0" borderId="65" xfId="1" applyNumberFormat="1" applyFont="1" applyBorder="1">
      <alignment vertical="center"/>
    </xf>
    <xf numFmtId="177" fontId="16" fillId="8" borderId="72" xfId="1" applyNumberFormat="1" applyFont="1" applyFill="1" applyBorder="1" applyAlignment="1">
      <alignment horizontal="right" vertical="center"/>
    </xf>
    <xf numFmtId="0" fontId="16" fillId="8" borderId="73" xfId="1" applyFont="1" applyFill="1" applyBorder="1" applyAlignment="1">
      <alignment horizontal="center" vertical="center"/>
    </xf>
    <xf numFmtId="0" fontId="16" fillId="8" borderId="74" xfId="1" applyFont="1" applyFill="1" applyBorder="1" applyAlignment="1">
      <alignment horizontal="center" vertical="center"/>
    </xf>
    <xf numFmtId="0" fontId="16" fillId="8" borderId="75" xfId="1" applyFont="1" applyFill="1" applyBorder="1" applyAlignment="1">
      <alignment horizontal="center" vertical="center"/>
    </xf>
    <xf numFmtId="0" fontId="15" fillId="8" borderId="76" xfId="1" applyFont="1" applyFill="1" applyBorder="1" applyAlignment="1">
      <alignment horizontal="center" vertical="center" wrapText="1"/>
    </xf>
    <xf numFmtId="0" fontId="7" fillId="0" borderId="0" xfId="4">
      <alignment vertical="center"/>
    </xf>
    <xf numFmtId="177" fontId="16" fillId="0" borderId="68" xfId="1" applyNumberFormat="1" applyFont="1" applyBorder="1" applyAlignment="1">
      <alignment horizontal="right" vertical="center"/>
    </xf>
    <xf numFmtId="38" fontId="16" fillId="9" borderId="69" xfId="1" applyNumberFormat="1" applyFont="1" applyFill="1" applyBorder="1" applyAlignment="1">
      <alignment horizontal="right" vertical="center"/>
    </xf>
    <xf numFmtId="38" fontId="16" fillId="0" borderId="69" xfId="1" applyNumberFormat="1" applyFont="1" applyBorder="1" applyAlignment="1">
      <alignment horizontal="right" vertical="center"/>
    </xf>
    <xf numFmtId="3" fontId="16" fillId="9" borderId="69" xfId="1" applyNumberFormat="1" applyFont="1" applyFill="1" applyBorder="1" applyAlignment="1">
      <alignment horizontal="right" vertical="center"/>
    </xf>
    <xf numFmtId="0" fontId="15" fillId="8" borderId="71" xfId="1" applyFont="1" applyFill="1" applyBorder="1" applyAlignment="1">
      <alignment horizontal="center" vertical="center" wrapText="1"/>
    </xf>
    <xf numFmtId="177" fontId="16" fillId="0" borderId="77" xfId="1" applyNumberFormat="1" applyFont="1" applyBorder="1" applyAlignment="1">
      <alignment horizontal="right" vertical="center"/>
    </xf>
    <xf numFmtId="0" fontId="16" fillId="0" borderId="78" xfId="1" applyFont="1" applyBorder="1" applyAlignment="1">
      <alignment horizontal="right" vertical="center"/>
    </xf>
    <xf numFmtId="38" fontId="16" fillId="9" borderId="78" xfId="1" applyNumberFormat="1" applyFont="1" applyFill="1" applyBorder="1" applyAlignment="1">
      <alignment horizontal="right" vertical="center"/>
    </xf>
    <xf numFmtId="178" fontId="16" fillId="0" borderId="78" xfId="1" applyNumberFormat="1" applyFont="1" applyBorder="1">
      <alignment vertical="center"/>
    </xf>
    <xf numFmtId="3" fontId="16" fillId="9" borderId="78" xfId="1" applyNumberFormat="1" applyFont="1" applyFill="1" applyBorder="1" applyAlignment="1">
      <alignment horizontal="right" vertical="center"/>
    </xf>
    <xf numFmtId="0" fontId="16" fillId="0" borderId="79" xfId="1" applyFont="1" applyBorder="1">
      <alignment vertical="center"/>
    </xf>
    <xf numFmtId="38" fontId="16" fillId="9" borderId="65" xfId="1" applyNumberFormat="1" applyFont="1" applyFill="1" applyBorder="1" applyAlignment="1">
      <alignment horizontal="right" vertical="center"/>
    </xf>
    <xf numFmtId="3" fontId="16" fillId="9" borderId="65" xfId="1" applyNumberFormat="1" applyFont="1" applyFill="1" applyBorder="1" applyAlignment="1">
      <alignment horizontal="right" vertical="center"/>
    </xf>
    <xf numFmtId="0" fontId="15" fillId="8" borderId="67" xfId="1" applyFont="1" applyFill="1" applyBorder="1" applyAlignment="1">
      <alignment horizontal="center" vertical="center" wrapText="1"/>
    </xf>
    <xf numFmtId="0" fontId="15" fillId="8" borderId="76" xfId="1" applyFont="1" applyFill="1" applyBorder="1" applyAlignment="1">
      <alignment horizontal="center" vertical="center"/>
    </xf>
    <xf numFmtId="178" fontId="16" fillId="0" borderId="69" xfId="1" applyNumberFormat="1" applyFont="1" applyBorder="1" applyAlignment="1">
      <alignment horizontal="right" vertical="center"/>
    </xf>
    <xf numFmtId="3" fontId="16" fillId="9" borderId="69" xfId="1" applyNumberFormat="1" applyFont="1" applyFill="1" applyBorder="1" applyAlignment="1">
      <alignment horizontal="left" vertical="center"/>
    </xf>
    <xf numFmtId="177" fontId="16" fillId="0" borderId="80" xfId="1" applyNumberFormat="1" applyFont="1" applyBorder="1" applyAlignment="1">
      <alignment horizontal="right" vertical="center"/>
    </xf>
    <xf numFmtId="0" fontId="16" fillId="0" borderId="81" xfId="1" applyFont="1" applyBorder="1" applyAlignment="1">
      <alignment horizontal="right" vertical="center"/>
    </xf>
    <xf numFmtId="38" fontId="16" fillId="9" borderId="81" xfId="1" applyNumberFormat="1" applyFont="1" applyFill="1" applyBorder="1" applyAlignment="1">
      <alignment horizontal="right" vertical="center"/>
    </xf>
    <xf numFmtId="178" fontId="16" fillId="0" borderId="81" xfId="1" applyNumberFormat="1" applyFont="1" applyBorder="1" applyAlignment="1">
      <alignment horizontal="right" vertical="center"/>
    </xf>
    <xf numFmtId="3" fontId="16" fillId="9" borderId="81" xfId="1" applyNumberFormat="1" applyFont="1" applyFill="1" applyBorder="1" applyAlignment="1">
      <alignment horizontal="left" vertical="center"/>
    </xf>
    <xf numFmtId="0" fontId="16" fillId="0" borderId="82" xfId="1" applyFont="1" applyBorder="1">
      <alignment vertical="center"/>
    </xf>
    <xf numFmtId="177" fontId="16" fillId="0" borderId="83" xfId="1" applyNumberFormat="1" applyFont="1" applyBorder="1" applyAlignment="1">
      <alignment horizontal="right" vertical="center"/>
    </xf>
    <xf numFmtId="178" fontId="16" fillId="0" borderId="65" xfId="1" applyNumberFormat="1" applyFont="1" applyBorder="1" applyAlignment="1">
      <alignment horizontal="right" vertical="center"/>
    </xf>
    <xf numFmtId="3" fontId="16" fillId="9" borderId="65" xfId="1" applyNumberFormat="1" applyFont="1" applyFill="1" applyBorder="1" applyAlignment="1">
      <alignment horizontal="left" vertical="center"/>
    </xf>
    <xf numFmtId="38" fontId="16" fillId="0" borderId="65" xfId="1" applyNumberFormat="1" applyFont="1" applyBorder="1" applyAlignment="1">
      <alignment horizontal="right" vertical="center"/>
    </xf>
    <xf numFmtId="38" fontId="16" fillId="0" borderId="78" xfId="1" applyNumberFormat="1" applyFont="1" applyBorder="1" applyAlignment="1">
      <alignment horizontal="right" vertical="center"/>
    </xf>
    <xf numFmtId="178" fontId="16" fillId="0" borderId="78" xfId="1" applyNumberFormat="1" applyFont="1" applyBorder="1" applyAlignment="1">
      <alignment horizontal="right" vertical="center"/>
    </xf>
    <xf numFmtId="3" fontId="16" fillId="5" borderId="78" xfId="1" applyNumberFormat="1" applyFont="1" applyFill="1" applyBorder="1">
      <alignment vertical="center"/>
    </xf>
    <xf numFmtId="3" fontId="16" fillId="0" borderId="78" xfId="1" applyNumberFormat="1" applyFont="1" applyBorder="1">
      <alignment vertical="center"/>
    </xf>
    <xf numFmtId="0" fontId="18" fillId="0" borderId="0" xfId="1" applyFont="1">
      <alignment vertical="center"/>
    </xf>
    <xf numFmtId="177" fontId="19" fillId="0" borderId="80" xfId="1" applyNumberFormat="1" applyFont="1" applyBorder="1" applyAlignment="1">
      <alignment horizontal="right" vertical="center"/>
    </xf>
    <xf numFmtId="0" fontId="19" fillId="0" borderId="81" xfId="1" applyFont="1" applyBorder="1" applyAlignment="1">
      <alignment horizontal="right" vertical="center"/>
    </xf>
    <xf numFmtId="38" fontId="19" fillId="0" borderId="81" xfId="1" applyNumberFormat="1" applyFont="1" applyBorder="1" applyAlignment="1">
      <alignment horizontal="right" vertical="center"/>
    </xf>
    <xf numFmtId="38" fontId="19" fillId="0" borderId="84" xfId="1" applyNumberFormat="1" applyFont="1" applyBorder="1" applyAlignment="1">
      <alignment horizontal="right" vertical="center"/>
    </xf>
    <xf numFmtId="178" fontId="19" fillId="0" borderId="84" xfId="1" applyNumberFormat="1" applyFont="1" applyBorder="1" applyAlignment="1">
      <alignment horizontal="right" vertical="center"/>
    </xf>
    <xf numFmtId="3" fontId="19" fillId="5" borderId="84" xfId="1" applyNumberFormat="1" applyFont="1" applyFill="1" applyBorder="1">
      <alignment vertical="center"/>
    </xf>
    <xf numFmtId="0" fontId="19" fillId="0" borderId="85" xfId="1" applyFont="1" applyBorder="1">
      <alignment vertical="center"/>
    </xf>
    <xf numFmtId="177" fontId="16" fillId="8" borderId="86" xfId="1" applyNumberFormat="1" applyFont="1" applyFill="1" applyBorder="1" applyAlignment="1">
      <alignment horizontal="right" vertical="center"/>
    </xf>
    <xf numFmtId="177" fontId="19" fillId="0" borderId="68" xfId="1" applyNumberFormat="1" applyFont="1" applyBorder="1" applyAlignment="1">
      <alignment horizontal="right" vertical="center"/>
    </xf>
    <xf numFmtId="0" fontId="19" fillId="0" borderId="78" xfId="1" applyFont="1" applyBorder="1" applyAlignment="1">
      <alignment horizontal="right" vertical="center"/>
    </xf>
    <xf numFmtId="38" fontId="19" fillId="0" borderId="78" xfId="1" applyNumberFormat="1" applyFont="1" applyBorder="1" applyAlignment="1">
      <alignment horizontal="right" vertical="center"/>
    </xf>
    <xf numFmtId="178" fontId="19" fillId="0" borderId="69" xfId="1" applyNumberFormat="1" applyFont="1" applyBorder="1">
      <alignment vertical="center"/>
    </xf>
    <xf numFmtId="3" fontId="19" fillId="0" borderId="69" xfId="1" applyNumberFormat="1" applyFont="1" applyBorder="1" applyAlignment="1">
      <alignment horizontal="right" vertical="center"/>
    </xf>
    <xf numFmtId="0" fontId="19" fillId="0" borderId="70" xfId="1" applyFont="1" applyBorder="1">
      <alignment vertical="center"/>
    </xf>
    <xf numFmtId="177" fontId="19" fillId="0" borderId="77" xfId="1" applyNumberFormat="1" applyFont="1" applyBorder="1" applyAlignment="1">
      <alignment horizontal="right" vertical="center"/>
    </xf>
    <xf numFmtId="178" fontId="19" fillId="0" borderId="78" xfId="1" applyNumberFormat="1" applyFont="1" applyBorder="1">
      <alignment vertical="center"/>
    </xf>
    <xf numFmtId="3" fontId="19" fillId="0" borderId="78" xfId="1" applyNumberFormat="1" applyFont="1" applyBorder="1" applyAlignment="1">
      <alignment horizontal="right" vertical="center" wrapText="1"/>
    </xf>
    <xf numFmtId="0" fontId="19" fillId="0" borderId="79" xfId="1" applyFont="1" applyBorder="1">
      <alignment vertical="center"/>
    </xf>
    <xf numFmtId="3" fontId="19" fillId="0" borderId="78" xfId="1" applyNumberFormat="1" applyFont="1" applyBorder="1" applyAlignment="1">
      <alignment horizontal="right" vertical="center"/>
    </xf>
    <xf numFmtId="178" fontId="16" fillId="0" borderId="87" xfId="1" applyNumberFormat="1" applyFont="1" applyBorder="1">
      <alignment vertical="center"/>
    </xf>
    <xf numFmtId="3" fontId="16" fillId="5" borderId="87" xfId="1" applyNumberFormat="1" applyFont="1" applyFill="1" applyBorder="1" applyAlignment="1">
      <alignment horizontal="right" vertical="center"/>
    </xf>
    <xf numFmtId="0" fontId="16" fillId="0" borderId="88" xfId="1" applyFont="1" applyBorder="1">
      <alignment vertical="center"/>
    </xf>
    <xf numFmtId="0" fontId="16" fillId="0" borderId="84" xfId="1" applyFont="1" applyBorder="1" applyAlignment="1">
      <alignment horizontal="right" vertical="center"/>
    </xf>
    <xf numFmtId="38" fontId="16" fillId="9" borderId="84" xfId="1" applyNumberFormat="1" applyFont="1" applyFill="1" applyBorder="1" applyAlignment="1">
      <alignment horizontal="right" vertical="center"/>
    </xf>
    <xf numFmtId="3" fontId="16" fillId="5" borderId="65" xfId="1" applyNumberFormat="1" applyFont="1" applyFill="1" applyBorder="1" applyAlignment="1">
      <alignment horizontal="right" vertical="center"/>
    </xf>
    <xf numFmtId="177" fontId="16" fillId="8" borderId="39" xfId="1" applyNumberFormat="1" applyFont="1" applyFill="1" applyBorder="1" applyAlignment="1">
      <alignment horizontal="right" vertical="center"/>
    </xf>
    <xf numFmtId="3" fontId="16" fillId="0" borderId="69" xfId="1" applyNumberFormat="1" applyFont="1" applyBorder="1" applyAlignment="1">
      <alignment horizontal="right" vertical="center"/>
    </xf>
    <xf numFmtId="0" fontId="16" fillId="0" borderId="70" xfId="1" applyFont="1" applyBorder="1" applyAlignment="1">
      <alignment horizontal="left" vertical="center"/>
    </xf>
    <xf numFmtId="177" fontId="16" fillId="0" borderId="89" xfId="1" applyNumberFormat="1" applyFont="1" applyBorder="1" applyAlignment="1">
      <alignment horizontal="right" vertical="center"/>
    </xf>
    <xf numFmtId="3" fontId="16" fillId="0" borderId="81" xfId="1" applyNumberFormat="1" applyFont="1" applyBorder="1" applyAlignment="1">
      <alignment horizontal="right" vertical="center"/>
    </xf>
    <xf numFmtId="0" fontId="16" fillId="0" borderId="82" xfId="1" applyFont="1" applyBorder="1" applyAlignment="1">
      <alignment horizontal="left" vertical="center"/>
    </xf>
    <xf numFmtId="0" fontId="15" fillId="8" borderId="54" xfId="1" applyFont="1" applyFill="1" applyBorder="1" applyAlignment="1">
      <alignment horizontal="center" vertical="center"/>
    </xf>
    <xf numFmtId="0" fontId="15" fillId="8" borderId="90" xfId="1" applyFont="1" applyFill="1" applyBorder="1" applyAlignment="1">
      <alignment horizontal="center" vertical="center"/>
    </xf>
    <xf numFmtId="0" fontId="15" fillId="8" borderId="91" xfId="1" applyFont="1" applyFill="1" applyBorder="1" applyAlignment="1">
      <alignment horizontal="center" vertical="center"/>
    </xf>
    <xf numFmtId="0" fontId="15" fillId="8" borderId="92" xfId="1" applyFont="1" applyFill="1" applyBorder="1" applyAlignment="1">
      <alignment horizontal="center" vertical="center"/>
    </xf>
    <xf numFmtId="178" fontId="15" fillId="8" borderId="92" xfId="1" applyNumberFormat="1" applyFont="1" applyFill="1" applyBorder="1" applyAlignment="1">
      <alignment horizontal="center" vertical="center"/>
    </xf>
    <xf numFmtId="0" fontId="15" fillId="8" borderId="92" xfId="1" applyFont="1" applyFill="1" applyBorder="1" applyAlignment="1">
      <alignment horizontal="center" vertical="center"/>
    </xf>
    <xf numFmtId="0" fontId="15" fillId="8" borderId="90" xfId="1" applyFont="1" applyFill="1" applyBorder="1" applyAlignment="1">
      <alignment horizontal="center" vertical="center"/>
    </xf>
    <xf numFmtId="0" fontId="20" fillId="8" borderId="76" xfId="1" applyFont="1" applyFill="1" applyBorder="1" applyAlignment="1">
      <alignment horizontal="center" vertical="center"/>
    </xf>
    <xf numFmtId="3" fontId="15" fillId="0" borderId="93" xfId="1" applyNumberFormat="1" applyFont="1" applyBorder="1" applyAlignment="1">
      <alignment horizontal="right" vertical="center"/>
    </xf>
    <xf numFmtId="0" fontId="15" fillId="8" borderId="94" xfId="1" applyFont="1" applyFill="1" applyBorder="1" applyAlignment="1">
      <alignment horizontal="center" vertical="center"/>
    </xf>
    <xf numFmtId="0" fontId="15" fillId="8" borderId="95" xfId="1" applyFont="1" applyFill="1" applyBorder="1" applyAlignment="1">
      <alignment horizontal="center" vertical="center"/>
    </xf>
    <xf numFmtId="0" fontId="15" fillId="0" borderId="93" xfId="1" applyFont="1" applyBorder="1" applyAlignment="1">
      <alignment horizontal="center" vertical="center"/>
    </xf>
    <xf numFmtId="0" fontId="15" fillId="8" borderId="93" xfId="1" applyFont="1" applyFill="1" applyBorder="1" applyAlignment="1">
      <alignment horizontal="center" vertical="center"/>
    </xf>
    <xf numFmtId="0" fontId="15" fillId="0" borderId="93" xfId="1" applyFont="1" applyBorder="1">
      <alignment vertical="center"/>
    </xf>
    <xf numFmtId="0" fontId="22" fillId="0" borderId="0" xfId="5" applyFont="1" applyAlignment="1">
      <alignment horizontal="center" vertical="center"/>
    </xf>
  </cellXfs>
  <cellStyles count="6">
    <cellStyle name="쉼표 [0] 2" xfId="2" xr:uid="{3087C819-6848-47C3-A3AB-71738A678A34}"/>
    <cellStyle name="표준" xfId="0" builtinId="0"/>
    <cellStyle name="표준 2" xfId="3" xr:uid="{54C29944-EA5F-42FB-99B2-2E2C9185C93A}"/>
    <cellStyle name="표준 2 2" xfId="4" xr:uid="{CC8A343A-93B0-4E7B-8612-8ED2F6D93CA3}"/>
    <cellStyle name="표준 4" xfId="1" xr:uid="{62B19F02-2DD7-49A4-B552-B1F6993A8A12}"/>
    <cellStyle name="표준_방캄상품" xfId="5" xr:uid="{69D01DEA-385C-4D28-9232-A517481CDFDA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1299882</xdr:colOff>
      <xdr:row>3</xdr:row>
      <xdr:rowOff>210783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6235A81-14B6-4655-9E9E-248D655DD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17106" cy="892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47625</xdr:rowOff>
    </xdr:from>
    <xdr:ext cx="7172325" cy="695325"/>
    <xdr:pic>
      <xdr:nvPicPr>
        <xdr:cNvPr id="2" name="그림 1">
          <a:extLst>
            <a:ext uri="{FF2B5EF4-FFF2-40B4-BE49-F238E27FC236}">
              <a16:creationId xmlns:a16="http://schemas.microsoft.com/office/drawing/2014/main" id="{28C244F3-2778-4DB2-964D-D56441AA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7625"/>
          <a:ext cx="7172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I59"/>
  <sheetViews>
    <sheetView tabSelected="1" view="pageBreakPreview" topLeftCell="A28" zoomScale="85" zoomScaleNormal="95" zoomScaleSheetLayoutView="85" workbookViewId="0">
      <selection activeCell="B53" sqref="B53"/>
    </sheetView>
  </sheetViews>
  <sheetFormatPr defaultColWidth="9" defaultRowHeight="16.5"/>
  <cols>
    <col min="1" max="1" width="12.75" customWidth="1"/>
    <col min="2" max="4" width="9.75" customWidth="1"/>
    <col min="6" max="6" width="12.75" customWidth="1"/>
    <col min="7" max="7" width="9.625" customWidth="1"/>
    <col min="8" max="8" width="29.5" customWidth="1"/>
    <col min="9" max="9" width="17.375" customWidth="1"/>
  </cols>
  <sheetData>
    <row r="5" spans="1:9" ht="26.25">
      <c r="A5" s="83" t="s">
        <v>42</v>
      </c>
      <c r="B5" s="83"/>
      <c r="C5" s="83"/>
      <c r="D5" s="83"/>
      <c r="E5" s="83"/>
      <c r="F5" s="83"/>
      <c r="G5" s="83"/>
      <c r="H5" s="83"/>
      <c r="I5" s="83"/>
    </row>
    <row r="6" spans="1:9" s="1" customFormat="1" ht="21.6" customHeight="1">
      <c r="A6" s="87" t="s">
        <v>81</v>
      </c>
      <c r="B6" s="87"/>
      <c r="C6" s="87"/>
      <c r="D6" s="87"/>
      <c r="E6" s="87"/>
      <c r="F6" s="87"/>
      <c r="G6" s="87"/>
      <c r="H6" s="87"/>
      <c r="I6" s="87"/>
    </row>
    <row r="7" spans="1:9" s="1" customFormat="1" ht="21" customHeight="1">
      <c r="A7" s="2" t="s">
        <v>6</v>
      </c>
      <c r="B7" s="88" t="s">
        <v>43</v>
      </c>
      <c r="C7" s="89"/>
      <c r="D7" s="89"/>
      <c r="E7" s="90"/>
      <c r="F7" s="3" t="s">
        <v>0</v>
      </c>
      <c r="G7" s="93" t="s">
        <v>18</v>
      </c>
      <c r="H7" s="94"/>
      <c r="I7" s="95"/>
    </row>
    <row r="8" spans="1:9" s="1" customFormat="1" ht="21" customHeight="1">
      <c r="A8" s="4" t="s">
        <v>4</v>
      </c>
      <c r="B8" s="91" t="s">
        <v>78</v>
      </c>
      <c r="C8" s="92"/>
      <c r="D8" s="92"/>
      <c r="E8" s="92"/>
      <c r="F8" s="5" t="s">
        <v>9</v>
      </c>
      <c r="G8" s="96" t="s">
        <v>82</v>
      </c>
      <c r="H8" s="97"/>
      <c r="I8" s="98"/>
    </row>
    <row r="9" spans="1:9" s="1" customFormat="1" ht="21" customHeight="1">
      <c r="A9" s="4" t="s">
        <v>33</v>
      </c>
      <c r="B9" s="84" t="s">
        <v>34</v>
      </c>
      <c r="C9" s="85"/>
      <c r="D9" s="85"/>
      <c r="E9" s="85"/>
      <c r="F9" s="85"/>
      <c r="G9" s="85"/>
      <c r="H9" s="85"/>
      <c r="I9" s="86"/>
    </row>
    <row r="10" spans="1:9" s="1" customFormat="1" ht="21" customHeight="1">
      <c r="A10" s="71" t="s">
        <v>13</v>
      </c>
      <c r="B10" s="58" t="s">
        <v>73</v>
      </c>
      <c r="C10" s="59"/>
      <c r="D10" s="59"/>
      <c r="E10" s="59"/>
      <c r="F10" s="59"/>
      <c r="G10" s="59"/>
      <c r="H10" s="59"/>
      <c r="I10" s="60"/>
    </row>
    <row r="11" spans="1:9" s="1" customFormat="1" ht="21" customHeight="1">
      <c r="A11" s="72"/>
      <c r="B11" s="55" t="s">
        <v>74</v>
      </c>
      <c r="C11" s="56"/>
      <c r="D11" s="56"/>
      <c r="E11" s="56"/>
      <c r="F11" s="56"/>
      <c r="G11" s="56"/>
      <c r="H11" s="56"/>
      <c r="I11" s="57"/>
    </row>
    <row r="12" spans="1:9" s="1" customFormat="1" ht="21" customHeight="1">
      <c r="A12" s="72"/>
      <c r="B12" s="55" t="s">
        <v>69</v>
      </c>
      <c r="C12" s="56"/>
      <c r="D12" s="56"/>
      <c r="E12" s="56"/>
      <c r="F12" s="56"/>
      <c r="G12" s="56"/>
      <c r="H12" s="56"/>
      <c r="I12" s="57"/>
    </row>
    <row r="13" spans="1:9" s="1" customFormat="1" ht="21" customHeight="1">
      <c r="A13" s="72"/>
      <c r="B13" s="55" t="s">
        <v>70</v>
      </c>
      <c r="C13" s="56"/>
      <c r="D13" s="56"/>
      <c r="E13" s="56"/>
      <c r="F13" s="56"/>
      <c r="G13" s="56"/>
      <c r="H13" s="56"/>
      <c r="I13" s="57"/>
    </row>
    <row r="14" spans="1:9" s="1" customFormat="1" ht="21" customHeight="1">
      <c r="A14" s="6" t="s">
        <v>10</v>
      </c>
      <c r="B14" s="99" t="s">
        <v>68</v>
      </c>
      <c r="C14" s="100"/>
      <c r="D14" s="100"/>
      <c r="E14" s="100"/>
      <c r="F14" s="100"/>
      <c r="G14" s="100"/>
      <c r="H14" s="100"/>
      <c r="I14" s="101"/>
    </row>
    <row r="15" spans="1:9" s="1" customFormat="1" ht="21" customHeight="1">
      <c r="A15" s="7" t="s">
        <v>11</v>
      </c>
      <c r="B15" s="55" t="s">
        <v>40</v>
      </c>
      <c r="C15" s="56"/>
      <c r="D15" s="56"/>
      <c r="E15" s="56"/>
      <c r="F15" s="56"/>
      <c r="G15" s="56"/>
      <c r="H15" s="56"/>
      <c r="I15" s="57"/>
    </row>
    <row r="16" spans="1:9" s="1" customFormat="1" ht="21" customHeight="1">
      <c r="A16" s="4" t="s">
        <v>12</v>
      </c>
      <c r="B16" s="58" t="s">
        <v>16</v>
      </c>
      <c r="C16" s="59"/>
      <c r="D16" s="59"/>
      <c r="E16" s="59"/>
      <c r="F16" s="59"/>
      <c r="G16" s="59"/>
      <c r="H16" s="59"/>
      <c r="I16" s="60"/>
    </row>
    <row r="17" spans="1:9" s="1" customFormat="1" ht="21" customHeight="1">
      <c r="A17" s="71" t="s">
        <v>8</v>
      </c>
      <c r="B17" s="58" t="s">
        <v>79</v>
      </c>
      <c r="C17" s="59"/>
      <c r="D17" s="59"/>
      <c r="E17" s="59"/>
      <c r="F17" s="59"/>
      <c r="G17" s="59"/>
      <c r="H17" s="59"/>
      <c r="I17" s="60"/>
    </row>
    <row r="18" spans="1:9" s="1" customFormat="1" ht="21" customHeight="1" thickBot="1">
      <c r="A18" s="72"/>
      <c r="B18" s="77" t="s">
        <v>80</v>
      </c>
      <c r="C18" s="78"/>
      <c r="D18" s="78"/>
      <c r="E18" s="78"/>
      <c r="F18" s="78"/>
      <c r="G18" s="78"/>
      <c r="H18" s="78"/>
      <c r="I18" s="79"/>
    </row>
    <row r="19" spans="1:9" s="1" customFormat="1" ht="21" customHeight="1">
      <c r="A19" s="2" t="s">
        <v>7</v>
      </c>
      <c r="B19" s="8" t="s">
        <v>3</v>
      </c>
      <c r="C19" s="8" t="s">
        <v>2</v>
      </c>
      <c r="D19" s="8" t="s">
        <v>5</v>
      </c>
      <c r="E19" s="74" t="s">
        <v>19</v>
      </c>
      <c r="F19" s="75"/>
      <c r="G19" s="75"/>
      <c r="H19" s="76"/>
      <c r="I19" s="9" t="s">
        <v>1</v>
      </c>
    </row>
    <row r="20" spans="1:9" s="1" customFormat="1" ht="21" customHeight="1">
      <c r="A20" s="35" t="s">
        <v>44</v>
      </c>
      <c r="B20" s="10" t="s">
        <v>35</v>
      </c>
      <c r="C20" s="10" t="s">
        <v>45</v>
      </c>
      <c r="D20" s="11" t="s">
        <v>46</v>
      </c>
      <c r="E20" s="40" t="s">
        <v>15</v>
      </c>
      <c r="F20" s="41"/>
      <c r="G20" s="41"/>
      <c r="H20" s="42"/>
      <c r="I20" s="12" t="s">
        <v>41</v>
      </c>
    </row>
    <row r="21" spans="1:9" s="1" customFormat="1" ht="21" customHeight="1">
      <c r="A21" s="73"/>
      <c r="B21" s="13" t="s">
        <v>21</v>
      </c>
      <c r="C21" s="13"/>
      <c r="D21" s="14"/>
      <c r="E21" s="46" t="s">
        <v>22</v>
      </c>
      <c r="F21" s="47"/>
      <c r="G21" s="47"/>
      <c r="H21" s="48"/>
      <c r="I21" s="15"/>
    </row>
    <row r="22" spans="1:9" s="1" customFormat="1" ht="21" customHeight="1">
      <c r="A22" s="73"/>
      <c r="B22" s="13"/>
      <c r="C22" s="13"/>
      <c r="D22" s="14"/>
      <c r="E22" s="80" t="s">
        <v>23</v>
      </c>
      <c r="F22" s="81"/>
      <c r="G22" s="81"/>
      <c r="H22" s="82"/>
      <c r="I22" s="16"/>
    </row>
    <row r="23" spans="1:9" s="1" customFormat="1" ht="21" customHeight="1">
      <c r="A23" s="73"/>
      <c r="B23" s="13"/>
      <c r="C23" s="13" t="s">
        <v>17</v>
      </c>
      <c r="D23" s="14"/>
      <c r="E23" s="46" t="s">
        <v>47</v>
      </c>
      <c r="F23" s="47"/>
      <c r="G23" s="47"/>
      <c r="H23" s="48"/>
      <c r="I23" s="15"/>
    </row>
    <row r="24" spans="1:9" s="1" customFormat="1" ht="21" customHeight="1">
      <c r="A24" s="73"/>
      <c r="B24" s="13"/>
      <c r="C24" s="13"/>
      <c r="D24" s="14"/>
      <c r="E24" s="46" t="s">
        <v>49</v>
      </c>
      <c r="F24" s="47"/>
      <c r="G24" s="47"/>
      <c r="H24" s="48"/>
      <c r="I24" s="17"/>
    </row>
    <row r="25" spans="1:9" s="1" customFormat="1" ht="21" customHeight="1">
      <c r="A25" s="70"/>
      <c r="B25" s="18"/>
      <c r="C25" s="18"/>
      <c r="D25" s="18"/>
      <c r="E25" s="37" t="s">
        <v>83</v>
      </c>
      <c r="F25" s="38"/>
      <c r="G25" s="38"/>
      <c r="H25" s="39"/>
      <c r="I25" s="19"/>
    </row>
    <row r="26" spans="1:9" s="1" customFormat="1" ht="21" customHeight="1">
      <c r="A26" s="35" t="s">
        <v>48</v>
      </c>
      <c r="B26" s="10" t="s">
        <v>21</v>
      </c>
      <c r="C26" s="10" t="s">
        <v>17</v>
      </c>
      <c r="D26" s="10" t="s">
        <v>26</v>
      </c>
      <c r="E26" s="40" t="s">
        <v>24</v>
      </c>
      <c r="F26" s="41"/>
      <c r="G26" s="41"/>
      <c r="H26" s="42"/>
      <c r="I26" s="12" t="s">
        <v>25</v>
      </c>
    </row>
    <row r="27" spans="1:9" s="1" customFormat="1" ht="21" customHeight="1">
      <c r="A27" s="33"/>
      <c r="B27" s="13"/>
      <c r="C27" s="13"/>
      <c r="D27" s="13"/>
      <c r="E27" s="46" t="s">
        <v>53</v>
      </c>
      <c r="F27" s="47"/>
      <c r="G27" s="47"/>
      <c r="H27" s="48"/>
      <c r="I27" s="17" t="s">
        <v>50</v>
      </c>
    </row>
    <row r="28" spans="1:9" s="1" customFormat="1" ht="21" customHeight="1">
      <c r="A28" s="33"/>
      <c r="B28" s="13"/>
      <c r="C28" s="13"/>
      <c r="D28" s="13"/>
      <c r="E28" s="67" t="s">
        <v>75</v>
      </c>
      <c r="F28" s="68"/>
      <c r="G28" s="68"/>
      <c r="H28" s="69"/>
      <c r="I28" s="17" t="s">
        <v>51</v>
      </c>
    </row>
    <row r="29" spans="1:9" s="1" customFormat="1" ht="21" customHeight="1">
      <c r="A29" s="33"/>
      <c r="B29" s="13"/>
      <c r="C29" s="13"/>
      <c r="D29" s="13"/>
      <c r="E29" s="67" t="s">
        <v>76</v>
      </c>
      <c r="F29" s="68"/>
      <c r="G29" s="68"/>
      <c r="H29" s="69"/>
      <c r="I29" s="17"/>
    </row>
    <row r="30" spans="1:9" s="1" customFormat="1" ht="21" customHeight="1">
      <c r="A30" s="33"/>
      <c r="B30" s="13"/>
      <c r="C30" s="13"/>
      <c r="D30" s="13"/>
      <c r="E30" s="67" t="s">
        <v>77</v>
      </c>
      <c r="F30" s="68"/>
      <c r="G30" s="68"/>
      <c r="H30" s="69"/>
      <c r="I30" s="17"/>
    </row>
    <row r="31" spans="1:9" s="1" customFormat="1" ht="21" customHeight="1">
      <c r="A31" s="33"/>
      <c r="B31" s="13"/>
      <c r="C31" s="13"/>
      <c r="D31" s="13"/>
      <c r="E31" s="46" t="s">
        <v>52</v>
      </c>
      <c r="F31" s="47"/>
      <c r="G31" s="47"/>
      <c r="H31" s="48"/>
      <c r="I31" s="17"/>
    </row>
    <row r="32" spans="1:9" s="1" customFormat="1" ht="21" customHeight="1">
      <c r="A32" s="33"/>
      <c r="B32" s="13"/>
      <c r="C32" s="13"/>
      <c r="D32" s="13"/>
      <c r="E32" s="49" t="s">
        <v>54</v>
      </c>
      <c r="F32" s="50"/>
      <c r="G32" s="50"/>
      <c r="H32" s="51"/>
      <c r="I32" s="17"/>
    </row>
    <row r="33" spans="1:9" s="1" customFormat="1" ht="21" customHeight="1">
      <c r="A33" s="33"/>
      <c r="B33" s="13"/>
      <c r="C33" s="13"/>
      <c r="D33" s="13"/>
      <c r="E33" s="64" t="s">
        <v>85</v>
      </c>
      <c r="F33" s="65"/>
      <c r="G33" s="65"/>
      <c r="H33" s="66"/>
      <c r="I33" s="17"/>
    </row>
    <row r="34" spans="1:9" s="1" customFormat="1" ht="21" customHeight="1">
      <c r="A34" s="33"/>
      <c r="B34" s="13"/>
      <c r="C34" s="13"/>
      <c r="D34" s="13"/>
      <c r="E34" s="64" t="s">
        <v>86</v>
      </c>
      <c r="F34" s="65"/>
      <c r="G34" s="65"/>
      <c r="H34" s="66"/>
      <c r="I34" s="16"/>
    </row>
    <row r="35" spans="1:9" s="1" customFormat="1" ht="21" customHeight="1">
      <c r="A35" s="70"/>
      <c r="B35" s="18"/>
      <c r="C35" s="18"/>
      <c r="D35" s="18"/>
      <c r="E35" s="37" t="s">
        <v>83</v>
      </c>
      <c r="F35" s="38"/>
      <c r="G35" s="38"/>
      <c r="H35" s="39"/>
      <c r="I35" s="19"/>
    </row>
    <row r="36" spans="1:9" s="1" customFormat="1" ht="21" customHeight="1">
      <c r="A36" s="35" t="s">
        <v>55</v>
      </c>
      <c r="B36" s="10" t="s">
        <v>21</v>
      </c>
      <c r="C36" s="10" t="s">
        <v>17</v>
      </c>
      <c r="D36" s="10" t="s">
        <v>27</v>
      </c>
      <c r="E36" s="46" t="s">
        <v>39</v>
      </c>
      <c r="F36" s="47"/>
      <c r="G36" s="47"/>
      <c r="H36" s="48"/>
      <c r="I36" s="12" t="s">
        <v>25</v>
      </c>
    </row>
    <row r="37" spans="1:9" s="1" customFormat="1" ht="21" customHeight="1">
      <c r="A37" s="33"/>
      <c r="B37" s="13" t="s">
        <v>32</v>
      </c>
      <c r="C37" s="13"/>
      <c r="D37" s="13"/>
      <c r="E37" s="64" t="s">
        <v>56</v>
      </c>
      <c r="F37" s="65"/>
      <c r="G37" s="65"/>
      <c r="H37" s="66"/>
      <c r="I37" s="17" t="s">
        <v>58</v>
      </c>
    </row>
    <row r="38" spans="1:9" s="1" customFormat="1" ht="21" customHeight="1">
      <c r="A38" s="33"/>
      <c r="B38" s="13"/>
      <c r="C38" s="13"/>
      <c r="D38" s="13"/>
      <c r="E38" s="64" t="s">
        <v>57</v>
      </c>
      <c r="F38" s="65"/>
      <c r="G38" s="65"/>
      <c r="H38" s="66"/>
      <c r="I38" s="17" t="s">
        <v>59</v>
      </c>
    </row>
    <row r="39" spans="1:9" s="1" customFormat="1" ht="21" customHeight="1">
      <c r="A39" s="33"/>
      <c r="B39" s="13"/>
      <c r="C39" s="13"/>
      <c r="D39" s="13"/>
      <c r="E39" s="52" t="s">
        <v>31</v>
      </c>
      <c r="F39" s="53"/>
      <c r="G39" s="53"/>
      <c r="H39" s="54"/>
      <c r="I39" s="17" t="s">
        <v>60</v>
      </c>
    </row>
    <row r="40" spans="1:9" s="1" customFormat="1" ht="21" customHeight="1">
      <c r="A40" s="33"/>
      <c r="B40" s="13"/>
      <c r="C40" s="13"/>
      <c r="D40" s="13"/>
      <c r="E40" s="52" t="s">
        <v>28</v>
      </c>
      <c r="F40" s="53"/>
      <c r="G40" s="53"/>
      <c r="H40" s="54"/>
      <c r="I40" s="17"/>
    </row>
    <row r="41" spans="1:9" s="1" customFormat="1" ht="21" customHeight="1">
      <c r="A41" s="33"/>
      <c r="B41" s="13"/>
      <c r="C41" s="13"/>
      <c r="D41" s="13"/>
      <c r="E41" s="52" t="s">
        <v>30</v>
      </c>
      <c r="F41" s="53"/>
      <c r="G41" s="53"/>
      <c r="H41" s="54"/>
      <c r="I41" s="17"/>
    </row>
    <row r="42" spans="1:9" s="1" customFormat="1" ht="21" customHeight="1">
      <c r="A42" s="33"/>
      <c r="B42" s="13"/>
      <c r="C42" s="13"/>
      <c r="D42" s="13"/>
      <c r="E42" s="52" t="s">
        <v>29</v>
      </c>
      <c r="F42" s="53"/>
      <c r="G42" s="53"/>
      <c r="H42" s="54"/>
      <c r="I42" s="17"/>
    </row>
    <row r="43" spans="1:9" s="1" customFormat="1" ht="21" customHeight="1">
      <c r="A43" s="33"/>
      <c r="B43" s="13"/>
      <c r="C43" s="13"/>
      <c r="D43" s="13"/>
      <c r="E43" s="64" t="s">
        <v>87</v>
      </c>
      <c r="F43" s="65"/>
      <c r="G43" s="65"/>
      <c r="H43" s="66"/>
      <c r="I43" s="17"/>
    </row>
    <row r="44" spans="1:9" s="1" customFormat="1" ht="21" customHeight="1">
      <c r="A44" s="33"/>
      <c r="B44" s="13"/>
      <c r="C44" s="13"/>
      <c r="D44" s="14"/>
      <c r="E44" s="61" t="s">
        <v>88</v>
      </c>
      <c r="F44" s="62"/>
      <c r="G44" s="62"/>
      <c r="H44" s="63"/>
      <c r="I44" s="16"/>
    </row>
    <row r="45" spans="1:9" s="1" customFormat="1" ht="21" customHeight="1">
      <c r="A45" s="70"/>
      <c r="B45" s="18"/>
      <c r="C45" s="18"/>
      <c r="D45" s="18"/>
      <c r="E45" s="37" t="s">
        <v>63</v>
      </c>
      <c r="F45" s="38"/>
      <c r="G45" s="38"/>
      <c r="H45" s="39"/>
      <c r="I45" s="19"/>
    </row>
    <row r="46" spans="1:9" s="1" customFormat="1" ht="21" customHeight="1">
      <c r="A46" s="35" t="s">
        <v>62</v>
      </c>
      <c r="B46" s="10" t="s">
        <v>32</v>
      </c>
      <c r="C46" s="10" t="s">
        <v>17</v>
      </c>
      <c r="D46" s="10" t="s">
        <v>26</v>
      </c>
      <c r="E46" s="46" t="s">
        <v>39</v>
      </c>
      <c r="F46" s="47"/>
      <c r="G46" s="47"/>
      <c r="H46" s="48"/>
      <c r="I46" s="20" t="s">
        <v>25</v>
      </c>
    </row>
    <row r="47" spans="1:9" s="1" customFormat="1" ht="21" customHeight="1">
      <c r="A47" s="33"/>
      <c r="B47" s="13" t="s">
        <v>21</v>
      </c>
      <c r="C47" s="13"/>
      <c r="D47" s="13"/>
      <c r="E47" s="43" t="s">
        <v>52</v>
      </c>
      <c r="F47" s="44"/>
      <c r="G47" s="44"/>
      <c r="H47" s="45"/>
      <c r="I47" s="15" t="s">
        <v>89</v>
      </c>
    </row>
    <row r="48" spans="1:9" s="1" customFormat="1" ht="21" customHeight="1">
      <c r="A48" s="33"/>
      <c r="B48" s="13"/>
      <c r="C48" s="13"/>
      <c r="D48" s="13"/>
      <c r="E48" s="43" t="s">
        <v>64</v>
      </c>
      <c r="F48" s="44"/>
      <c r="G48" s="44"/>
      <c r="H48" s="45"/>
      <c r="I48" s="16" t="s">
        <v>67</v>
      </c>
    </row>
    <row r="49" spans="1:9" s="1" customFormat="1" ht="21" customHeight="1">
      <c r="A49" s="33"/>
      <c r="B49" s="13"/>
      <c r="C49" s="13"/>
      <c r="D49" s="13"/>
      <c r="E49" s="52" t="s">
        <v>71</v>
      </c>
      <c r="F49" s="53"/>
      <c r="G49" s="53"/>
      <c r="H49" s="54"/>
      <c r="I49" s="15"/>
    </row>
    <row r="50" spans="1:9" s="1" customFormat="1" ht="21" customHeight="1">
      <c r="A50" s="33"/>
      <c r="B50" s="13"/>
      <c r="C50" s="13"/>
      <c r="D50" s="13"/>
      <c r="E50" s="52" t="s">
        <v>72</v>
      </c>
      <c r="F50" s="53"/>
      <c r="G50" s="53"/>
      <c r="H50" s="54"/>
      <c r="I50" s="15"/>
    </row>
    <row r="51" spans="1:9" s="1" customFormat="1" ht="21" customHeight="1">
      <c r="A51" s="33"/>
      <c r="B51" s="13"/>
      <c r="C51" s="13"/>
      <c r="D51" s="13"/>
      <c r="E51" s="49" t="s">
        <v>54</v>
      </c>
      <c r="F51" s="50"/>
      <c r="G51" s="50"/>
      <c r="H51" s="51"/>
      <c r="I51" s="15"/>
    </row>
    <row r="52" spans="1:9" s="1" customFormat="1" ht="21" customHeight="1">
      <c r="A52" s="33"/>
      <c r="B52" s="13"/>
      <c r="C52" s="13"/>
      <c r="D52" s="13"/>
      <c r="E52" s="43" t="s">
        <v>65</v>
      </c>
      <c r="F52" s="44"/>
      <c r="G52" s="44"/>
      <c r="H52" s="45"/>
      <c r="I52" s="15"/>
    </row>
    <row r="53" spans="1:9" s="1" customFormat="1" ht="21" customHeight="1">
      <c r="A53" s="33"/>
      <c r="B53" s="13"/>
      <c r="C53" s="13"/>
      <c r="D53" s="13"/>
      <c r="E53" s="43" t="s">
        <v>66</v>
      </c>
      <c r="F53" s="44"/>
      <c r="G53" s="44"/>
      <c r="H53" s="45"/>
      <c r="I53" s="15"/>
    </row>
    <row r="54" spans="1:9" s="1" customFormat="1" ht="21" customHeight="1">
      <c r="A54" s="33"/>
      <c r="B54" s="13" t="s">
        <v>21</v>
      </c>
      <c r="C54" s="13" t="s">
        <v>45</v>
      </c>
      <c r="D54" s="13" t="s">
        <v>46</v>
      </c>
      <c r="E54" s="43" t="s">
        <v>37</v>
      </c>
      <c r="F54" s="44"/>
      <c r="G54" s="44"/>
      <c r="H54" s="45"/>
      <c r="I54" s="15"/>
    </row>
    <row r="55" spans="1:9" s="1" customFormat="1" ht="21" customHeight="1">
      <c r="A55" s="36"/>
      <c r="B55" s="18"/>
      <c r="C55" s="18"/>
      <c r="D55" s="21"/>
      <c r="E55" s="37" t="s">
        <v>84</v>
      </c>
      <c r="F55" s="38"/>
      <c r="G55" s="38"/>
      <c r="H55" s="39"/>
      <c r="I55" s="22"/>
    </row>
    <row r="56" spans="1:9" s="1" customFormat="1" ht="21" customHeight="1">
      <c r="A56" s="33" t="s">
        <v>61</v>
      </c>
      <c r="B56" s="13" t="s">
        <v>35</v>
      </c>
      <c r="C56" s="13"/>
      <c r="D56" s="14" t="s">
        <v>38</v>
      </c>
      <c r="E56" s="40" t="s">
        <v>36</v>
      </c>
      <c r="F56" s="41"/>
      <c r="G56" s="41"/>
      <c r="H56" s="42"/>
      <c r="I56" s="15" t="s">
        <v>20</v>
      </c>
    </row>
    <row r="57" spans="1:9" s="1" customFormat="1" ht="21" customHeight="1">
      <c r="A57" s="33"/>
      <c r="B57" s="13"/>
      <c r="C57" s="13"/>
      <c r="D57" s="14"/>
      <c r="E57" s="23"/>
      <c r="F57" s="25"/>
      <c r="G57" s="25"/>
      <c r="H57" s="24"/>
      <c r="I57" s="15"/>
    </row>
    <row r="58" spans="1:9" s="1" customFormat="1" ht="21" customHeight="1" thickBot="1">
      <c r="A58" s="34"/>
      <c r="B58" s="26"/>
      <c r="C58" s="26"/>
      <c r="D58" s="27"/>
      <c r="E58" s="30"/>
      <c r="F58" s="31"/>
      <c r="G58" s="31"/>
      <c r="H58" s="32"/>
      <c r="I58" s="28"/>
    </row>
    <row r="59" spans="1:9" s="1" customFormat="1" ht="18" customHeight="1">
      <c r="A59" s="29" t="s">
        <v>14</v>
      </c>
      <c r="B59" s="29"/>
      <c r="C59" s="29"/>
      <c r="D59" s="29"/>
      <c r="E59" s="29"/>
      <c r="F59" s="29"/>
      <c r="G59" s="29"/>
      <c r="H59" s="29"/>
      <c r="I59" s="29"/>
    </row>
  </sheetData>
  <mergeCells count="63">
    <mergeCell ref="E29:H29"/>
    <mergeCell ref="E30:H30"/>
    <mergeCell ref="E31:H31"/>
    <mergeCell ref="A5:I5"/>
    <mergeCell ref="B9:I9"/>
    <mergeCell ref="A10:A13"/>
    <mergeCell ref="B10:I10"/>
    <mergeCell ref="A6:I6"/>
    <mergeCell ref="B7:E7"/>
    <mergeCell ref="B8:E8"/>
    <mergeCell ref="G7:I7"/>
    <mergeCell ref="G8:I8"/>
    <mergeCell ref="B13:I13"/>
    <mergeCell ref="B11:I11"/>
    <mergeCell ref="B12:I12"/>
    <mergeCell ref="B14:I14"/>
    <mergeCell ref="A36:A45"/>
    <mergeCell ref="A17:A18"/>
    <mergeCell ref="E35:H35"/>
    <mergeCell ref="A26:A35"/>
    <mergeCell ref="A20:A25"/>
    <mergeCell ref="E45:H45"/>
    <mergeCell ref="E39:H39"/>
    <mergeCell ref="E19:H19"/>
    <mergeCell ref="B18:I18"/>
    <mergeCell ref="E22:H22"/>
    <mergeCell ref="E32:H32"/>
    <mergeCell ref="E41:H41"/>
    <mergeCell ref="E42:H42"/>
    <mergeCell ref="E38:H38"/>
    <mergeCell ref="E43:H43"/>
    <mergeCell ref="E27:H27"/>
    <mergeCell ref="B15:I15"/>
    <mergeCell ref="B17:I17"/>
    <mergeCell ref="B16:I16"/>
    <mergeCell ref="E44:H44"/>
    <mergeCell ref="E34:H34"/>
    <mergeCell ref="E23:H23"/>
    <mergeCell ref="E24:H24"/>
    <mergeCell ref="E40:H40"/>
    <mergeCell ref="E36:H36"/>
    <mergeCell ref="E20:H20"/>
    <mergeCell ref="E21:H21"/>
    <mergeCell ref="E37:H37"/>
    <mergeCell ref="E26:H26"/>
    <mergeCell ref="E25:H25"/>
    <mergeCell ref="E28:H28"/>
    <mergeCell ref="E33:H33"/>
    <mergeCell ref="A59:I59"/>
    <mergeCell ref="E58:H58"/>
    <mergeCell ref="A56:A58"/>
    <mergeCell ref="A46:A55"/>
    <mergeCell ref="E55:H55"/>
    <mergeCell ref="E56:H56"/>
    <mergeCell ref="E54:H54"/>
    <mergeCell ref="E46:H46"/>
    <mergeCell ref="E52:H52"/>
    <mergeCell ref="E51:H51"/>
    <mergeCell ref="E47:H47"/>
    <mergeCell ref="E50:H50"/>
    <mergeCell ref="E49:H49"/>
    <mergeCell ref="E48:H48"/>
    <mergeCell ref="E53:H53"/>
  </mergeCells>
  <phoneticPr fontId="2" type="noConversion"/>
  <printOptions horizontalCentered="1"/>
  <pageMargins left="0" right="0" top="0.39370078740157483" bottom="0" header="0.19685039370078741" footer="0"/>
  <pageSetup paperSize="9" scale="6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13DE-9D6C-4150-AF45-29F12E6167A1}">
  <dimension ref="A1:R53"/>
  <sheetViews>
    <sheetView topLeftCell="A16" zoomScaleNormal="100" zoomScaleSheetLayoutView="90" workbookViewId="0">
      <selection activeCell="B33" sqref="B33:H33"/>
    </sheetView>
  </sheetViews>
  <sheetFormatPr defaultColWidth="8.75" defaultRowHeight="16.5"/>
  <cols>
    <col min="1" max="1" width="9.375" style="103" customWidth="1"/>
    <col min="2" max="2" width="27.625" style="103" customWidth="1"/>
    <col min="3" max="3" width="18.875" style="103" customWidth="1"/>
    <col min="4" max="4" width="8.875" style="103" customWidth="1"/>
    <col min="5" max="5" width="8.125" style="103" customWidth="1"/>
    <col min="6" max="6" width="4.125" style="103" customWidth="1"/>
    <col min="7" max="7" width="7.5" style="103" customWidth="1"/>
    <col min="8" max="8" width="4.125" style="103" customWidth="1"/>
    <col min="9" max="9" width="15.625" style="103" customWidth="1"/>
    <col min="10" max="10" width="18.375" style="102" customWidth="1"/>
    <col min="11" max="11" width="8.75" style="102"/>
    <col min="12" max="12" width="19.625" style="102" customWidth="1"/>
    <col min="13" max="16384" width="8.75" style="102"/>
  </cols>
  <sheetData>
    <row r="1" spans="1:9" ht="61.5" customHeight="1" thickBot="1">
      <c r="A1" s="227"/>
      <c r="B1" s="227"/>
      <c r="C1" s="227"/>
      <c r="D1" s="227"/>
      <c r="E1" s="115"/>
      <c r="F1" s="121"/>
      <c r="G1" s="121"/>
      <c r="H1" s="121"/>
      <c r="I1" s="115"/>
    </row>
    <row r="2" spans="1:9" ht="19.5" customHeight="1" thickBot="1">
      <c r="A2" s="225" t="s">
        <v>155</v>
      </c>
      <c r="B2" s="226"/>
      <c r="C2" s="225" t="s">
        <v>154</v>
      </c>
      <c r="D2" s="224">
        <v>65</v>
      </c>
      <c r="E2" s="225" t="s">
        <v>153</v>
      </c>
      <c r="F2" s="224">
        <v>1</v>
      </c>
      <c r="G2" s="223" t="s">
        <v>152</v>
      </c>
      <c r="H2" s="222"/>
      <c r="I2" s="221"/>
    </row>
    <row r="3" spans="1:9" ht="17.25" customHeight="1" thickBot="1">
      <c r="A3" s="220"/>
      <c r="B3" s="219" t="s">
        <v>151</v>
      </c>
      <c r="C3" s="218" t="s">
        <v>150</v>
      </c>
      <c r="D3" s="217" t="s">
        <v>149</v>
      </c>
      <c r="E3" s="216" t="s">
        <v>148</v>
      </c>
      <c r="F3" s="216"/>
      <c r="G3" s="215" t="s">
        <v>147</v>
      </c>
      <c r="H3" s="214"/>
      <c r="I3" s="213" t="s">
        <v>146</v>
      </c>
    </row>
    <row r="4" spans="1:9" ht="17.25" customHeight="1" thickTop="1">
      <c r="A4" s="141" t="s">
        <v>145</v>
      </c>
      <c r="B4" s="212" t="s">
        <v>144</v>
      </c>
      <c r="C4" s="211"/>
      <c r="D4" s="170">
        <v>145</v>
      </c>
      <c r="E4" s="168">
        <v>34</v>
      </c>
      <c r="F4" s="168" t="s">
        <v>103</v>
      </c>
      <c r="G4" s="168">
        <v>2</v>
      </c>
      <c r="H4" s="168" t="s">
        <v>142</v>
      </c>
      <c r="I4" s="210">
        <f>D4*E4*G4</f>
        <v>9860</v>
      </c>
    </row>
    <row r="5" spans="1:9" ht="17.25" customHeight="1">
      <c r="A5" s="141"/>
      <c r="B5" s="209" t="s">
        <v>143</v>
      </c>
      <c r="C5" s="208"/>
      <c r="D5" s="165">
        <v>94</v>
      </c>
      <c r="E5" s="137">
        <v>34</v>
      </c>
      <c r="F5" s="137" t="s">
        <v>103</v>
      </c>
      <c r="G5" s="137">
        <v>1</v>
      </c>
      <c r="H5" s="137" t="s">
        <v>142</v>
      </c>
      <c r="I5" s="150">
        <f>D5*E5*G5</f>
        <v>3196</v>
      </c>
    </row>
    <row r="6" spans="1:9" ht="17.25" customHeight="1" thickBot="1">
      <c r="A6" s="164"/>
      <c r="B6" s="147" t="s">
        <v>141</v>
      </c>
      <c r="C6" s="146"/>
      <c r="D6" s="146"/>
      <c r="E6" s="146"/>
      <c r="F6" s="146"/>
      <c r="G6" s="146"/>
      <c r="H6" s="145"/>
      <c r="I6" s="207">
        <f>SUM(I4:I5)</f>
        <v>13056</v>
      </c>
    </row>
    <row r="7" spans="1:9" ht="17.25" customHeight="1" thickTop="1">
      <c r="A7" s="134" t="s">
        <v>140</v>
      </c>
      <c r="B7" s="133" t="s">
        <v>139</v>
      </c>
      <c r="C7" s="206" t="s">
        <v>138</v>
      </c>
      <c r="D7" s="143">
        <v>10</v>
      </c>
      <c r="E7" s="205">
        <f>D$2+F$2</f>
        <v>66</v>
      </c>
      <c r="F7" s="205" t="s">
        <v>95</v>
      </c>
      <c r="G7" s="204">
        <v>1</v>
      </c>
      <c r="H7" s="204" t="s">
        <v>94</v>
      </c>
      <c r="I7" s="173">
        <f>D7*E7*G7</f>
        <v>660</v>
      </c>
    </row>
    <row r="8" spans="1:9" ht="17.25" customHeight="1">
      <c r="A8" s="141"/>
      <c r="B8" s="203" t="s">
        <v>137</v>
      </c>
      <c r="C8" s="202" t="s">
        <v>136</v>
      </c>
      <c r="D8" s="201">
        <v>50</v>
      </c>
      <c r="E8" s="157">
        <f>D$2+F$2</f>
        <v>66</v>
      </c>
      <c r="F8" s="157" t="s">
        <v>95</v>
      </c>
      <c r="G8" s="156">
        <v>1</v>
      </c>
      <c r="H8" s="156" t="s">
        <v>94</v>
      </c>
      <c r="I8" s="155">
        <f>D8*E8*G8</f>
        <v>3300</v>
      </c>
    </row>
    <row r="9" spans="1:9" ht="17.25" customHeight="1">
      <c r="A9" s="141"/>
      <c r="B9" s="199" t="s">
        <v>135</v>
      </c>
      <c r="C9" s="198" t="s">
        <v>134</v>
      </c>
      <c r="D9" s="197">
        <v>12</v>
      </c>
      <c r="E9" s="157">
        <f>D$2+F$2</f>
        <v>66</v>
      </c>
      <c r="F9" s="192" t="s">
        <v>127</v>
      </c>
      <c r="G9" s="191">
        <v>1</v>
      </c>
      <c r="H9" s="191" t="s">
        <v>126</v>
      </c>
      <c r="I9" s="196">
        <f>D9*E9*G9</f>
        <v>792</v>
      </c>
    </row>
    <row r="10" spans="1:9" ht="17.25" customHeight="1">
      <c r="A10" s="141"/>
      <c r="B10" s="199" t="s">
        <v>133</v>
      </c>
      <c r="C10" s="200" t="s">
        <v>132</v>
      </c>
      <c r="D10" s="197">
        <v>40</v>
      </c>
      <c r="E10" s="157">
        <f>D$2+F$2</f>
        <v>66</v>
      </c>
      <c r="F10" s="192" t="s">
        <v>127</v>
      </c>
      <c r="G10" s="191">
        <v>1</v>
      </c>
      <c r="H10" s="191" t="s">
        <v>126</v>
      </c>
      <c r="I10" s="196">
        <f>D10*E10*G10</f>
        <v>2640</v>
      </c>
    </row>
    <row r="11" spans="1:9" ht="17.25" customHeight="1">
      <c r="A11" s="141"/>
      <c r="B11" s="199" t="s">
        <v>131</v>
      </c>
      <c r="C11" s="198" t="s">
        <v>130</v>
      </c>
      <c r="D11" s="197">
        <v>15</v>
      </c>
      <c r="E11" s="157">
        <f>D$2+F$2</f>
        <v>66</v>
      </c>
      <c r="F11" s="192" t="s">
        <v>127</v>
      </c>
      <c r="G11" s="191">
        <v>1</v>
      </c>
      <c r="H11" s="191" t="s">
        <v>126</v>
      </c>
      <c r="I11" s="196">
        <f>D11*E11*G11</f>
        <v>990</v>
      </c>
    </row>
    <row r="12" spans="1:9" ht="17.25" customHeight="1">
      <c r="A12" s="141"/>
      <c r="B12" s="195" t="s">
        <v>129</v>
      </c>
      <c r="C12" s="194" t="s">
        <v>128</v>
      </c>
      <c r="D12" s="193">
        <v>27</v>
      </c>
      <c r="E12" s="157">
        <f>D$2+F$2</f>
        <v>66</v>
      </c>
      <c r="F12" s="192" t="s">
        <v>127</v>
      </c>
      <c r="G12" s="191">
        <v>1</v>
      </c>
      <c r="H12" s="191" t="s">
        <v>126</v>
      </c>
      <c r="I12" s="190">
        <f>D12*E12*G12</f>
        <v>1782</v>
      </c>
    </row>
    <row r="13" spans="1:9" ht="17.25" customHeight="1" thickBot="1">
      <c r="A13" s="164"/>
      <c r="B13" s="147"/>
      <c r="C13" s="146"/>
      <c r="D13" s="146"/>
      <c r="E13" s="146"/>
      <c r="F13" s="146"/>
      <c r="G13" s="146"/>
      <c r="H13" s="145"/>
      <c r="I13" s="189">
        <f>SUM(I7:I12)</f>
        <v>10164</v>
      </c>
    </row>
    <row r="14" spans="1:9" s="181" customFormat="1" ht="17.25" customHeight="1" thickTop="1">
      <c r="A14" s="163" t="s">
        <v>125</v>
      </c>
      <c r="B14" s="188" t="s">
        <v>124</v>
      </c>
      <c r="C14" s="187"/>
      <c r="D14" s="186">
        <v>5</v>
      </c>
      <c r="E14" s="185">
        <f>D$2+F$2</f>
        <v>66</v>
      </c>
      <c r="F14" s="184" t="s">
        <v>95</v>
      </c>
      <c r="G14" s="183">
        <v>1</v>
      </c>
      <c r="H14" s="183" t="s">
        <v>94</v>
      </c>
      <c r="I14" s="182">
        <f>D14*E14*G14</f>
        <v>330</v>
      </c>
    </row>
    <row r="15" spans="1:9" ht="17.25" customHeight="1">
      <c r="A15" s="154"/>
      <c r="B15" s="160" t="s">
        <v>123</v>
      </c>
      <c r="C15" s="179"/>
      <c r="D15" s="178">
        <v>6</v>
      </c>
      <c r="E15" s="177">
        <f>D$2+F$2</f>
        <v>66</v>
      </c>
      <c r="F15" s="177" t="s">
        <v>95</v>
      </c>
      <c r="G15" s="156">
        <v>1</v>
      </c>
      <c r="H15" s="156" t="s">
        <v>94</v>
      </c>
      <c r="I15" s="155">
        <f>D15*E15*G15</f>
        <v>396</v>
      </c>
    </row>
    <row r="16" spans="1:9" ht="17.25" customHeight="1">
      <c r="A16" s="154"/>
      <c r="B16" s="160" t="s">
        <v>122</v>
      </c>
      <c r="C16" s="179"/>
      <c r="D16" s="178">
        <v>15</v>
      </c>
      <c r="E16" s="177">
        <f>E27</f>
        <v>3</v>
      </c>
      <c r="F16" s="177" t="s">
        <v>95</v>
      </c>
      <c r="G16" s="156">
        <v>1</v>
      </c>
      <c r="H16" s="156" t="s">
        <v>94</v>
      </c>
      <c r="I16" s="155">
        <f>D16*E16*G16</f>
        <v>45</v>
      </c>
    </row>
    <row r="17" spans="1:18" ht="17.25" customHeight="1">
      <c r="A17" s="154"/>
      <c r="B17" s="160" t="s">
        <v>121</v>
      </c>
      <c r="C17" s="180"/>
      <c r="D17" s="178">
        <v>40</v>
      </c>
      <c r="E17" s="177">
        <f>ROUNDUP((D$2+F$2)/3,0)</f>
        <v>22</v>
      </c>
      <c r="F17" s="177" t="s">
        <v>106</v>
      </c>
      <c r="G17" s="156">
        <v>1</v>
      </c>
      <c r="H17" s="156" t="s">
        <v>94</v>
      </c>
      <c r="I17" s="155">
        <f>D17*E17*G17</f>
        <v>880</v>
      </c>
    </row>
    <row r="18" spans="1:18" ht="17.25" customHeight="1">
      <c r="A18" s="154"/>
      <c r="B18" s="160" t="s">
        <v>120</v>
      </c>
      <c r="C18" s="179"/>
      <c r="D18" s="178">
        <v>28</v>
      </c>
      <c r="E18" s="177">
        <f>D$2+F$2</f>
        <v>66</v>
      </c>
      <c r="F18" s="177" t="s">
        <v>95</v>
      </c>
      <c r="G18" s="156">
        <v>1</v>
      </c>
      <c r="H18" s="156" t="s">
        <v>94</v>
      </c>
      <c r="I18" s="155">
        <f>D18*E18*G18</f>
        <v>1848</v>
      </c>
    </row>
    <row r="19" spans="1:18" ht="17.25" customHeight="1">
      <c r="A19" s="154"/>
      <c r="B19" s="160" t="s">
        <v>119</v>
      </c>
      <c r="C19" s="179"/>
      <c r="D19" s="178">
        <v>4</v>
      </c>
      <c r="E19" s="177">
        <f>D$2+F$2</f>
        <v>66</v>
      </c>
      <c r="F19" s="177" t="s">
        <v>95</v>
      </c>
      <c r="G19" s="156">
        <v>1</v>
      </c>
      <c r="H19" s="156" t="s">
        <v>94</v>
      </c>
      <c r="I19" s="155">
        <f>D19*E19*G19</f>
        <v>264</v>
      </c>
    </row>
    <row r="20" spans="1:18" ht="17.25" customHeight="1" thickBot="1">
      <c r="A20" s="148"/>
      <c r="B20" s="147" t="s">
        <v>118</v>
      </c>
      <c r="C20" s="146"/>
      <c r="D20" s="146"/>
      <c r="E20" s="146"/>
      <c r="F20" s="146"/>
      <c r="G20" s="146"/>
      <c r="H20" s="145"/>
      <c r="I20" s="144">
        <f>SUM(I14:I19)</f>
        <v>3763</v>
      </c>
    </row>
    <row r="21" spans="1:18" ht="17.25" customHeight="1" thickTop="1">
      <c r="A21" s="154" t="s">
        <v>117</v>
      </c>
      <c r="B21" s="133" t="s">
        <v>116</v>
      </c>
      <c r="C21" s="132"/>
      <c r="D21" s="174">
        <v>18</v>
      </c>
      <c r="E21" s="176">
        <f>D$2+F$2</f>
        <v>66</v>
      </c>
      <c r="F21" s="176" t="s">
        <v>95</v>
      </c>
      <c r="G21" s="142">
        <v>2</v>
      </c>
      <c r="H21" s="142" t="s">
        <v>94</v>
      </c>
      <c r="I21" s="129">
        <f>E21*D21*G21</f>
        <v>2376</v>
      </c>
    </row>
    <row r="22" spans="1:18" ht="17.25" customHeight="1" thickBot="1">
      <c r="A22" s="148"/>
      <c r="B22" s="147" t="s">
        <v>115</v>
      </c>
      <c r="C22" s="146"/>
      <c r="D22" s="146"/>
      <c r="E22" s="146"/>
      <c r="F22" s="146"/>
      <c r="G22" s="146"/>
      <c r="H22" s="145"/>
      <c r="I22" s="144">
        <f>SUM(I21:I21)</f>
        <v>2376</v>
      </c>
    </row>
    <row r="23" spans="1:18" ht="17.25" customHeight="1" thickTop="1">
      <c r="A23" s="141" t="s">
        <v>114</v>
      </c>
      <c r="B23" s="133" t="s">
        <v>113</v>
      </c>
      <c r="C23" s="175"/>
      <c r="D23" s="174">
        <v>150</v>
      </c>
      <c r="E23" s="161">
        <f>E27</f>
        <v>3</v>
      </c>
      <c r="F23" s="161" t="s">
        <v>95</v>
      </c>
      <c r="G23" s="142">
        <v>4</v>
      </c>
      <c r="H23" s="142" t="s">
        <v>102</v>
      </c>
      <c r="I23" s="173">
        <f>D23*E23*G23</f>
        <v>1800</v>
      </c>
    </row>
    <row r="24" spans="1:18" ht="17.25" customHeight="1">
      <c r="A24" s="141"/>
      <c r="B24" s="172" t="s">
        <v>112</v>
      </c>
      <c r="C24" s="171"/>
      <c r="D24" s="170">
        <v>30</v>
      </c>
      <c r="E24" s="169">
        <f>E23</f>
        <v>3</v>
      </c>
      <c r="F24" s="169" t="s">
        <v>95</v>
      </c>
      <c r="G24" s="168">
        <v>4</v>
      </c>
      <c r="H24" s="168" t="s">
        <v>102</v>
      </c>
      <c r="I24" s="167">
        <f>D24*E24*G24</f>
        <v>360</v>
      </c>
    </row>
    <row r="25" spans="1:18" ht="17.25" customHeight="1">
      <c r="A25" s="141"/>
      <c r="B25" s="140" t="s">
        <v>111</v>
      </c>
      <c r="C25" s="166"/>
      <c r="D25" s="165">
        <v>30</v>
      </c>
      <c r="E25" s="151">
        <f>E24</f>
        <v>3</v>
      </c>
      <c r="F25" s="151" t="s">
        <v>95</v>
      </c>
      <c r="G25" s="137">
        <v>1</v>
      </c>
      <c r="H25" s="137" t="s">
        <v>102</v>
      </c>
      <c r="I25" s="150">
        <f>D25*E25*G25</f>
        <v>90</v>
      </c>
    </row>
    <row r="26" spans="1:18" ht="17.25" customHeight="1" thickBot="1">
      <c r="A26" s="164"/>
      <c r="B26" s="147" t="s">
        <v>110</v>
      </c>
      <c r="C26" s="146"/>
      <c r="D26" s="146"/>
      <c r="E26" s="146"/>
      <c r="F26" s="146"/>
      <c r="G26" s="146"/>
      <c r="H26" s="145"/>
      <c r="I26" s="144">
        <f>SUM(I23:I25)</f>
        <v>2250</v>
      </c>
    </row>
    <row r="27" spans="1:18" ht="17.25" customHeight="1" thickTop="1">
      <c r="A27" s="163" t="s">
        <v>109</v>
      </c>
      <c r="B27" s="133" t="s">
        <v>108</v>
      </c>
      <c r="C27" s="162" t="s">
        <v>107</v>
      </c>
      <c r="D27" s="143">
        <v>740</v>
      </c>
      <c r="E27" s="142">
        <v>3</v>
      </c>
      <c r="F27" s="161" t="s">
        <v>106</v>
      </c>
      <c r="G27" s="142">
        <v>1</v>
      </c>
      <c r="H27" s="142" t="s">
        <v>94</v>
      </c>
      <c r="I27" s="129">
        <f>D27*E27*G27</f>
        <v>2220</v>
      </c>
    </row>
    <row r="28" spans="1:18" ht="17.25" customHeight="1">
      <c r="A28" s="154"/>
      <c r="B28" s="160" t="s">
        <v>105</v>
      </c>
      <c r="C28" s="159"/>
      <c r="D28" s="158">
        <v>25</v>
      </c>
      <c r="E28" s="156">
        <f>E27</f>
        <v>3</v>
      </c>
      <c r="F28" s="157" t="s">
        <v>95</v>
      </c>
      <c r="G28" s="156">
        <v>4</v>
      </c>
      <c r="H28" s="156" t="s">
        <v>102</v>
      </c>
      <c r="I28" s="155">
        <f>D28*E28*G28</f>
        <v>300</v>
      </c>
    </row>
    <row r="29" spans="1:18" s="149" customFormat="1" ht="17.25" customHeight="1">
      <c r="A29" s="154"/>
      <c r="B29" s="140" t="s">
        <v>104</v>
      </c>
      <c r="C29" s="153"/>
      <c r="D29" s="138">
        <v>20</v>
      </c>
      <c r="E29" s="152">
        <f>E24</f>
        <v>3</v>
      </c>
      <c r="F29" s="151" t="s">
        <v>103</v>
      </c>
      <c r="G29" s="137">
        <v>1</v>
      </c>
      <c r="H29" s="137" t="s">
        <v>102</v>
      </c>
      <c r="I29" s="150">
        <f>D29*E29*G29</f>
        <v>60</v>
      </c>
    </row>
    <row r="30" spans="1:18" s="103" customFormat="1" ht="17.25" customHeight="1" thickBot="1">
      <c r="A30" s="148"/>
      <c r="B30" s="147" t="s">
        <v>101</v>
      </c>
      <c r="C30" s="146"/>
      <c r="D30" s="146"/>
      <c r="E30" s="146"/>
      <c r="F30" s="146"/>
      <c r="G30" s="146"/>
      <c r="H30" s="145"/>
      <c r="I30" s="144">
        <f>SUM(I27:I29)</f>
        <v>2580</v>
      </c>
      <c r="J30" s="102"/>
      <c r="K30" s="102"/>
      <c r="L30" s="102"/>
      <c r="M30" s="102"/>
      <c r="N30" s="102"/>
      <c r="O30" s="102"/>
      <c r="P30" s="102"/>
      <c r="Q30" s="102"/>
      <c r="R30" s="102"/>
    </row>
    <row r="31" spans="1:18" s="103" customFormat="1" ht="17.25" customHeight="1" thickTop="1">
      <c r="A31" s="134" t="s">
        <v>100</v>
      </c>
      <c r="B31" s="133" t="s">
        <v>99</v>
      </c>
      <c r="C31" s="132"/>
      <c r="D31" s="143">
        <v>3</v>
      </c>
      <c r="E31" s="142">
        <f>D$2+F$2</f>
        <v>66</v>
      </c>
      <c r="F31" s="130" t="s">
        <v>95</v>
      </c>
      <c r="G31" s="130">
        <v>1</v>
      </c>
      <c r="H31" s="130" t="s">
        <v>94</v>
      </c>
      <c r="I31" s="129">
        <f>D31*E31*G31</f>
        <v>198</v>
      </c>
      <c r="J31" s="102"/>
      <c r="K31" s="102"/>
      <c r="L31" s="102"/>
      <c r="M31" s="102"/>
      <c r="N31" s="102"/>
      <c r="O31" s="102"/>
      <c r="P31" s="102"/>
      <c r="Q31" s="102"/>
      <c r="R31" s="102"/>
    </row>
    <row r="32" spans="1:18" s="103" customFormat="1" ht="17.25" customHeight="1">
      <c r="A32" s="141"/>
      <c r="B32" s="140" t="s">
        <v>98</v>
      </c>
      <c r="C32" s="139"/>
      <c r="D32" s="138">
        <v>1</v>
      </c>
      <c r="E32" s="137">
        <f>D$2+F$2</f>
        <v>66</v>
      </c>
      <c r="F32" s="136" t="s">
        <v>95</v>
      </c>
      <c r="G32" s="136">
        <v>4</v>
      </c>
      <c r="H32" s="136" t="s">
        <v>94</v>
      </c>
      <c r="I32" s="135">
        <f>D32*E32*G32</f>
        <v>264</v>
      </c>
      <c r="J32" s="102"/>
      <c r="K32" s="102"/>
      <c r="L32" s="102"/>
      <c r="M32" s="102"/>
      <c r="N32" s="102"/>
      <c r="O32" s="102"/>
      <c r="P32" s="102"/>
      <c r="Q32" s="102"/>
      <c r="R32" s="102"/>
    </row>
    <row r="33" spans="1:18" s="103" customFormat="1" ht="17.25" customHeight="1" thickBot="1">
      <c r="A33" s="128"/>
      <c r="B33" s="127" t="s">
        <v>93</v>
      </c>
      <c r="C33" s="126"/>
      <c r="D33" s="126"/>
      <c r="E33" s="126"/>
      <c r="F33" s="126"/>
      <c r="G33" s="126"/>
      <c r="H33" s="125"/>
      <c r="I33" s="124">
        <f>SUM(I31:I32)</f>
        <v>462</v>
      </c>
      <c r="J33" s="102"/>
      <c r="K33" s="102"/>
      <c r="L33" s="102"/>
      <c r="M33" s="102"/>
      <c r="N33" s="102"/>
      <c r="O33" s="102"/>
      <c r="P33" s="102"/>
      <c r="Q33" s="102"/>
      <c r="R33" s="102"/>
    </row>
    <row r="34" spans="1:18" s="103" customFormat="1" ht="17.25" customHeight="1" thickTop="1">
      <c r="A34" s="134" t="s">
        <v>97</v>
      </c>
      <c r="B34" s="133" t="s">
        <v>96</v>
      </c>
      <c r="C34" s="132"/>
      <c r="D34" s="131">
        <v>30</v>
      </c>
      <c r="E34" s="130">
        <f>D2</f>
        <v>65</v>
      </c>
      <c r="F34" s="130" t="s">
        <v>95</v>
      </c>
      <c r="G34" s="130">
        <v>1</v>
      </c>
      <c r="H34" s="130" t="s">
        <v>94</v>
      </c>
      <c r="I34" s="129">
        <f>D34*E34*G34</f>
        <v>1950</v>
      </c>
      <c r="J34" s="102"/>
      <c r="K34" s="102"/>
      <c r="L34" s="102"/>
      <c r="M34" s="102"/>
      <c r="N34" s="102"/>
      <c r="O34" s="102"/>
      <c r="P34" s="102"/>
      <c r="Q34" s="102"/>
      <c r="R34" s="102"/>
    </row>
    <row r="35" spans="1:18" s="103" customFormat="1" ht="17.25" customHeight="1" thickBot="1">
      <c r="A35" s="128"/>
      <c r="B35" s="127" t="s">
        <v>93</v>
      </c>
      <c r="C35" s="126"/>
      <c r="D35" s="126"/>
      <c r="E35" s="126"/>
      <c r="F35" s="126"/>
      <c r="G35" s="126"/>
      <c r="H35" s="125"/>
      <c r="I35" s="124">
        <f>SUM(I34:I34)</f>
        <v>1950</v>
      </c>
      <c r="J35" s="102"/>
      <c r="K35" s="102"/>
      <c r="L35" s="102"/>
      <c r="M35" s="102"/>
      <c r="N35" s="102"/>
      <c r="O35" s="102"/>
      <c r="P35" s="102"/>
      <c r="Q35" s="102"/>
      <c r="R35" s="102"/>
    </row>
    <row r="36" spans="1:18" s="103" customFormat="1" ht="22.5" customHeight="1" thickBot="1">
      <c r="A36" s="122"/>
      <c r="B36" s="123"/>
      <c r="C36" s="123"/>
      <c r="D36" s="123"/>
      <c r="E36" s="123"/>
      <c r="F36" s="123"/>
      <c r="G36" s="123"/>
      <c r="H36" s="123"/>
      <c r="I36" s="122"/>
      <c r="J36" s="102"/>
      <c r="K36" s="102"/>
      <c r="L36" s="102"/>
      <c r="M36" s="102"/>
      <c r="N36" s="102"/>
      <c r="O36" s="102"/>
      <c r="P36" s="102"/>
      <c r="Q36" s="102"/>
      <c r="R36" s="102"/>
    </row>
    <row r="37" spans="1:18" s="103" customFormat="1" ht="22.5" customHeight="1" thickBot="1">
      <c r="A37" s="121"/>
      <c r="B37" s="120" t="s">
        <v>92</v>
      </c>
      <c r="C37" s="119"/>
      <c r="D37" s="118"/>
      <c r="E37" s="118"/>
      <c r="F37" s="118"/>
      <c r="G37" s="118"/>
      <c r="H37" s="117"/>
      <c r="I37" s="116">
        <f>I6+I13+I20+I22+I26+I30+I33+I35</f>
        <v>36601</v>
      </c>
      <c r="J37" s="102"/>
      <c r="K37" s="102"/>
      <c r="L37" s="102"/>
      <c r="M37" s="102"/>
      <c r="N37" s="102"/>
      <c r="O37" s="102"/>
      <c r="P37" s="102"/>
      <c r="Q37" s="102"/>
      <c r="R37" s="102"/>
    </row>
    <row r="38" spans="1:18" s="103" customFormat="1" ht="22.5" customHeight="1" thickTop="1" thickBot="1">
      <c r="A38" s="115"/>
      <c r="B38" s="114" t="s">
        <v>91</v>
      </c>
      <c r="C38" s="113"/>
      <c r="D38" s="112"/>
      <c r="E38" s="112"/>
      <c r="F38" s="112"/>
      <c r="G38" s="112"/>
      <c r="H38" s="111"/>
      <c r="I38" s="110">
        <f>I37/D2</f>
        <v>563.09230769230771</v>
      </c>
      <c r="J38" s="102"/>
      <c r="K38" s="102"/>
      <c r="L38" s="102"/>
      <c r="M38" s="102"/>
      <c r="N38" s="102"/>
      <c r="O38" s="102"/>
      <c r="P38" s="102"/>
      <c r="Q38" s="102"/>
      <c r="R38" s="102"/>
    </row>
    <row r="39" spans="1:18" s="103" customFormat="1" ht="22.5" customHeight="1" thickTop="1" thickBot="1">
      <c r="B39" s="109" t="s">
        <v>90</v>
      </c>
      <c r="C39" s="108"/>
      <c r="D39" s="107"/>
      <c r="E39" s="106"/>
      <c r="F39" s="107"/>
      <c r="G39" s="107"/>
      <c r="H39" s="106"/>
      <c r="I39" s="105">
        <f>I38+F39</f>
        <v>563.09230769230771</v>
      </c>
      <c r="J39" s="102"/>
      <c r="K39" s="102"/>
      <c r="L39" s="102"/>
      <c r="M39" s="102"/>
      <c r="N39" s="102"/>
      <c r="O39" s="102"/>
      <c r="P39" s="102"/>
      <c r="Q39" s="102"/>
      <c r="R39" s="102"/>
    </row>
    <row r="40" spans="1:18" s="103" customFormat="1" ht="22.5" customHeight="1">
      <c r="B40" s="104"/>
      <c r="C40" s="104"/>
      <c r="J40" s="102"/>
      <c r="K40" s="102"/>
      <c r="L40" s="102"/>
      <c r="M40" s="102"/>
      <c r="N40" s="102"/>
      <c r="O40" s="102"/>
      <c r="P40" s="102"/>
      <c r="Q40" s="102"/>
      <c r="R40" s="102"/>
    </row>
    <row r="41" spans="1:18" s="103" customFormat="1" ht="22.5" customHeight="1">
      <c r="J41" s="102"/>
      <c r="K41" s="102"/>
      <c r="L41" s="102"/>
      <c r="M41" s="102"/>
      <c r="N41" s="102"/>
      <c r="O41" s="102"/>
      <c r="P41" s="102"/>
      <c r="Q41" s="102"/>
      <c r="R41" s="102"/>
    </row>
    <row r="42" spans="1:18" s="103" customFormat="1" ht="22.5" customHeight="1">
      <c r="J42" s="102"/>
      <c r="K42" s="102"/>
      <c r="L42" s="102"/>
      <c r="M42" s="102"/>
      <c r="N42" s="102"/>
      <c r="O42" s="102"/>
      <c r="P42" s="102"/>
      <c r="Q42" s="102"/>
      <c r="R42" s="102"/>
    </row>
    <row r="43" spans="1:18" s="103" customFormat="1" ht="22.5" customHeight="1">
      <c r="J43" s="102"/>
      <c r="K43" s="102"/>
      <c r="L43" s="102"/>
      <c r="M43" s="102"/>
      <c r="N43" s="102"/>
      <c r="O43" s="102"/>
      <c r="P43" s="102"/>
      <c r="Q43" s="102"/>
      <c r="R43" s="102"/>
    </row>
    <row r="44" spans="1:18" s="103" customFormat="1" ht="22.5" customHeight="1">
      <c r="J44" s="102"/>
      <c r="K44" s="102"/>
      <c r="L44" s="102"/>
      <c r="M44" s="102"/>
      <c r="N44" s="102"/>
      <c r="O44" s="102"/>
      <c r="P44" s="102"/>
      <c r="Q44" s="102"/>
      <c r="R44" s="102"/>
    </row>
    <row r="45" spans="1:18" s="103" customFormat="1" ht="22.5" customHeight="1">
      <c r="J45" s="102"/>
      <c r="K45" s="102"/>
      <c r="L45" s="102"/>
      <c r="M45" s="102"/>
      <c r="N45" s="102"/>
      <c r="O45" s="102"/>
      <c r="P45" s="102"/>
      <c r="Q45" s="102"/>
      <c r="R45" s="102"/>
    </row>
    <row r="46" spans="1:18" s="103" customFormat="1" ht="22.5" customHeight="1">
      <c r="J46" s="102"/>
      <c r="K46" s="102"/>
      <c r="L46" s="102"/>
      <c r="M46" s="102"/>
      <c r="N46" s="102"/>
      <c r="O46" s="102"/>
      <c r="P46" s="102"/>
      <c r="Q46" s="102"/>
      <c r="R46" s="102"/>
    </row>
    <row r="47" spans="1:18" s="103" customFormat="1" ht="22.5" customHeight="1">
      <c r="J47" s="102"/>
      <c r="K47" s="102"/>
      <c r="L47" s="102"/>
      <c r="M47" s="102"/>
      <c r="N47" s="102"/>
      <c r="O47" s="102"/>
      <c r="P47" s="102"/>
      <c r="Q47" s="102"/>
      <c r="R47" s="102"/>
    </row>
    <row r="48" spans="1:18" s="103" customFormat="1" ht="22.5" customHeight="1">
      <c r="J48" s="102"/>
      <c r="K48" s="102"/>
      <c r="L48" s="102"/>
      <c r="M48" s="102"/>
      <c r="N48" s="102"/>
      <c r="O48" s="102"/>
      <c r="P48" s="102"/>
      <c r="Q48" s="102"/>
      <c r="R48" s="102"/>
    </row>
    <row r="49" spans="10:18" s="103" customFormat="1" ht="22.5" customHeight="1">
      <c r="J49" s="102"/>
      <c r="K49" s="102"/>
      <c r="L49" s="102"/>
      <c r="M49" s="102"/>
      <c r="N49" s="102"/>
      <c r="O49" s="102"/>
      <c r="P49" s="102"/>
      <c r="Q49" s="102"/>
      <c r="R49" s="102"/>
    </row>
    <row r="50" spans="10:18" s="103" customFormat="1" ht="22.5" customHeight="1">
      <c r="J50" s="102"/>
      <c r="K50" s="102"/>
      <c r="L50" s="102"/>
      <c r="M50" s="102"/>
      <c r="N50" s="102"/>
      <c r="O50" s="102"/>
      <c r="P50" s="102"/>
      <c r="Q50" s="102"/>
      <c r="R50" s="102"/>
    </row>
    <row r="51" spans="10:18" s="103" customFormat="1" ht="22.5" customHeight="1">
      <c r="J51" s="102"/>
      <c r="K51" s="102"/>
      <c r="L51" s="102"/>
      <c r="M51" s="102"/>
      <c r="N51" s="102"/>
      <c r="O51" s="102"/>
      <c r="P51" s="102"/>
      <c r="Q51" s="102"/>
      <c r="R51" s="102"/>
    </row>
    <row r="52" spans="10:18" s="103" customFormat="1" ht="22.5" customHeight="1">
      <c r="J52" s="102"/>
      <c r="K52" s="102"/>
      <c r="L52" s="102"/>
      <c r="M52" s="102"/>
      <c r="N52" s="102"/>
      <c r="O52" s="102"/>
      <c r="P52" s="102"/>
      <c r="Q52" s="102"/>
      <c r="R52" s="102"/>
    </row>
    <row r="53" spans="10:18" s="103" customFormat="1" ht="22.5" customHeight="1">
      <c r="J53" s="102"/>
      <c r="K53" s="102"/>
      <c r="L53" s="102"/>
      <c r="M53" s="102"/>
      <c r="N53" s="102"/>
      <c r="O53" s="102"/>
      <c r="P53" s="102"/>
      <c r="Q53" s="102"/>
      <c r="R53" s="102"/>
    </row>
  </sheetData>
  <mergeCells count="25">
    <mergeCell ref="A27:A30"/>
    <mergeCell ref="B30:H30"/>
    <mergeCell ref="A31:A33"/>
    <mergeCell ref="B33:H33"/>
    <mergeCell ref="C39:E39"/>
    <mergeCell ref="F39:H39"/>
    <mergeCell ref="A36:I36"/>
    <mergeCell ref="C37:H37"/>
    <mergeCell ref="C38:H38"/>
    <mergeCell ref="B20:H20"/>
    <mergeCell ref="A21:A22"/>
    <mergeCell ref="B22:H22"/>
    <mergeCell ref="A14:A20"/>
    <mergeCell ref="A23:A26"/>
    <mergeCell ref="B26:H26"/>
    <mergeCell ref="A34:A35"/>
    <mergeCell ref="B35:H35"/>
    <mergeCell ref="A1:D1"/>
    <mergeCell ref="G2:H2"/>
    <mergeCell ref="E3:F3"/>
    <mergeCell ref="G3:H3"/>
    <mergeCell ref="A4:A6"/>
    <mergeCell ref="B6:H6"/>
    <mergeCell ref="A7:A13"/>
    <mergeCell ref="B13:H13"/>
  </mergeCells>
  <phoneticPr fontId="2" type="noConversion"/>
  <printOptions horizontalCentered="1"/>
  <pageMargins left="0.11811023622047245" right="0.11811023622047245" top="0.19685039370078741" bottom="7.874015748031496E-2" header="0.19685039370078741" footer="0.11811023622047245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호치민&amp;무이네</vt:lpstr>
      <vt:lpstr>세부</vt:lpstr>
      <vt:lpstr>세부!Print_Area</vt:lpstr>
      <vt:lpstr>'호치민&amp;무이네'!Print_Area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WiseMan</cp:lastModifiedBy>
  <cp:revision>4</cp:revision>
  <cp:lastPrinted>2026-02-10T12:36:29Z</cp:lastPrinted>
  <dcterms:created xsi:type="dcterms:W3CDTF">2016-07-20T08:57:48Z</dcterms:created>
  <dcterms:modified xsi:type="dcterms:W3CDTF">2026-02-12T01:19:10Z</dcterms:modified>
  <cp:version>1100.0100.01</cp:version>
</cp:coreProperties>
</file>